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8.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z5550722\Downloads\PHD-UNSW\UHPC\Machine Learning Modeling\Machine Learning\Database\Data in Brief Research Article\Final Dataset\Revision and Final\"/>
    </mc:Choice>
  </mc:AlternateContent>
  <xr:revisionPtr revIDLastSave="0" documentId="13_ncr:1_{9CDCCA22-C2DF-42DC-8301-D0E48D0DA7EA}" xr6:coauthVersionLast="47" xr6:coauthVersionMax="47" xr10:uidLastSave="{00000000-0000-0000-0000-000000000000}"/>
  <bookViews>
    <workbookView xWindow="28690" yWindow="-110" windowWidth="29020" windowHeight="15700" xr2:uid="{86A523D8-9FD6-4909-8078-0CAFE62E4B49}"/>
  </bookViews>
  <sheets>
    <sheet name="Readme " sheetId="30" r:id="rId1"/>
    <sheet name="1-Regional and year wise " sheetId="1" r:id="rId2"/>
    <sheet name="2-Cement and Composition" sheetId="4" r:id="rId3"/>
    <sheet name="3- SCMs and Nano Particles" sheetId="10" r:id="rId4"/>
    <sheet name="4-Sand and Fillers " sheetId="2" r:id="rId5"/>
    <sheet name="5-Fibers " sheetId="11" r:id="rId6"/>
    <sheet name="6- Superplasticizer" sheetId="31" r:id="rId7"/>
    <sheet name="7-Curing Regime " sheetId="12" r:id="rId8"/>
    <sheet name="8-Specimens and Properities " sheetId="13" r:id="rId9"/>
    <sheet name="9-Testing Standards" sheetId="32" r:id="rId10"/>
    <sheet name="10-Distribtion of 28Days CS" sheetId="28" r:id="rId11"/>
  </sheets>
  <externalReferences>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31" l="1"/>
  <c r="H6" i="31"/>
  <c r="H7" i="31"/>
  <c r="H8" i="31"/>
  <c r="H9" i="31"/>
  <c r="H10" i="31"/>
  <c r="H11" i="31"/>
  <c r="H12" i="31"/>
  <c r="H13" i="31"/>
  <c r="H14" i="31"/>
  <c r="H15" i="31"/>
  <c r="H16" i="31"/>
  <c r="H17" i="31"/>
  <c r="H18" i="31"/>
  <c r="H19" i="31"/>
  <c r="H20" i="31"/>
  <c r="H21" i="31"/>
  <c r="H22" i="31"/>
  <c r="H23" i="31"/>
  <c r="H24" i="31"/>
  <c r="H25" i="31"/>
  <c r="H26" i="31"/>
  <c r="H27" i="31"/>
  <c r="H28" i="31"/>
  <c r="H29" i="31"/>
  <c r="H30" i="31"/>
  <c r="H31" i="31"/>
  <c r="H4" i="31"/>
  <c r="H55" i="2" l="1"/>
  <c r="G55" i="2"/>
  <c r="I54" i="2"/>
  <c r="I53" i="2"/>
  <c r="I52" i="2"/>
  <c r="I51" i="2"/>
  <c r="I50" i="2"/>
  <c r="I49" i="2"/>
  <c r="I48" i="2"/>
  <c r="I47" i="2"/>
  <c r="I46" i="2"/>
  <c r="I45" i="2"/>
  <c r="I44" i="2"/>
  <c r="I43" i="2"/>
  <c r="I42" i="2"/>
  <c r="I41" i="2"/>
  <c r="I40" i="2"/>
  <c r="I39" i="2"/>
  <c r="I38" i="2"/>
  <c r="H26" i="2"/>
  <c r="F13" i="11" l="1"/>
  <c r="I6" i="2" l="1"/>
  <c r="I20" i="2" l="1"/>
  <c r="I14" i="2"/>
  <c r="I5" i="2"/>
  <c r="I17" i="2"/>
  <c r="I12" i="2"/>
  <c r="I11" i="2"/>
  <c r="I19" i="2"/>
  <c r="I10" i="2"/>
  <c r="I9" i="2"/>
  <c r="I25" i="2"/>
  <c r="I24" i="2"/>
  <c r="I23" i="2"/>
  <c r="I22" i="2"/>
  <c r="I21" i="2"/>
  <c r="I18" i="2"/>
  <c r="I16" i="2"/>
  <c r="I15" i="2"/>
  <c r="I13" i="2"/>
  <c r="I8" i="2"/>
  <c r="I7" i="2"/>
  <c r="G14" i="1" l="1"/>
  <c r="G6" i="1"/>
  <c r="G5" i="1"/>
  <c r="G23" i="1"/>
  <c r="G30" i="1"/>
  <c r="G9" i="1"/>
  <c r="G16" i="1"/>
  <c r="G19" i="1"/>
  <c r="G17" i="1"/>
  <c r="G15" i="1"/>
  <c r="G25" i="1"/>
  <c r="G20" i="1"/>
  <c r="G13" i="1"/>
  <c r="G27" i="1"/>
  <c r="G7" i="1"/>
  <c r="G24" i="1"/>
  <c r="G21" i="1"/>
  <c r="G10" i="1"/>
  <c r="G26" i="1"/>
  <c r="G22" i="1"/>
  <c r="G18" i="1"/>
  <c r="G8" i="1"/>
  <c r="G28" i="1"/>
  <c r="G12" i="1"/>
  <c r="G29" i="1"/>
  <c r="G11" i="1"/>
  <c r="G4" i="1"/>
</calcChain>
</file>

<file path=xl/sharedStrings.xml><?xml version="1.0" encoding="utf-8"?>
<sst xmlns="http://schemas.openxmlformats.org/spreadsheetml/2006/main" count="684" uniqueCount="560">
  <si>
    <t>Vietnam</t>
  </si>
  <si>
    <t xml:space="preserve">USA </t>
  </si>
  <si>
    <t xml:space="preserve"> UK</t>
  </si>
  <si>
    <t>Turkey</t>
  </si>
  <si>
    <t>Switzerland</t>
  </si>
  <si>
    <t xml:space="preserve"> Singapore</t>
  </si>
  <si>
    <t>Saudi Arabia</t>
  </si>
  <si>
    <t>Portugal</t>
  </si>
  <si>
    <t>Pakistan</t>
  </si>
  <si>
    <t>Netherlands</t>
  </si>
  <si>
    <t>Malaysia</t>
  </si>
  <si>
    <t>Lithuania</t>
  </si>
  <si>
    <t xml:space="preserve">Korea </t>
  </si>
  <si>
    <t>Italy</t>
  </si>
  <si>
    <t xml:space="preserve">Iran </t>
  </si>
  <si>
    <t xml:space="preserve">India </t>
  </si>
  <si>
    <t>Hong Kong</t>
  </si>
  <si>
    <t>Germany</t>
  </si>
  <si>
    <t>France</t>
  </si>
  <si>
    <t>Cyprus</t>
  </si>
  <si>
    <t>Croatia</t>
  </si>
  <si>
    <t>China</t>
  </si>
  <si>
    <t xml:space="preserve">Canada </t>
  </si>
  <si>
    <t xml:space="preserve"> Brazil</t>
  </si>
  <si>
    <t>Austria</t>
  </si>
  <si>
    <t>Australia</t>
  </si>
  <si>
    <t xml:space="preserve"> Algeria</t>
  </si>
  <si>
    <t>Mix design count proportion (%)</t>
  </si>
  <si>
    <t xml:space="preserve">Mix design count	</t>
  </si>
  <si>
    <t>Publication count</t>
  </si>
  <si>
    <t xml:space="preserve">Country	</t>
  </si>
  <si>
    <t>Basalt Sand</t>
  </si>
  <si>
    <t>Bauxite</t>
  </si>
  <si>
    <t>Calcareous sand</t>
  </si>
  <si>
    <t>Crushed limestone</t>
  </si>
  <si>
    <t xml:space="preserve">Glass Sand </t>
  </si>
  <si>
    <t xml:space="preserve">Granite + Quartz Sand </t>
  </si>
  <si>
    <t>Missouri River sand + masonry sand</t>
  </si>
  <si>
    <t xml:space="preserve">Missouri River sand + masonry sand + LIGHTWEIGHT </t>
  </si>
  <si>
    <t xml:space="preserve">Quartz + Basalt </t>
  </si>
  <si>
    <t>Quartz sand</t>
  </si>
  <si>
    <t xml:space="preserve">Sea Sand </t>
  </si>
  <si>
    <t>Washed sand</t>
  </si>
  <si>
    <t xml:space="preserve">Arkansas Quarry Sand </t>
  </si>
  <si>
    <t xml:space="preserve"> Arkansas River Sand</t>
  </si>
  <si>
    <t>Fine dune sand</t>
  </si>
  <si>
    <t>Locally available sand</t>
  </si>
  <si>
    <t>Ordinary Building Sand</t>
  </si>
  <si>
    <t xml:space="preserve">Quartz Sand + Normal River Sand </t>
  </si>
  <si>
    <t>Natural River sand</t>
  </si>
  <si>
    <t xml:space="preserve">Silica Sand </t>
  </si>
  <si>
    <t>River Sand + Masonry sand + Lightweight sand</t>
  </si>
  <si>
    <t xml:space="preserve">Sand Type </t>
  </si>
  <si>
    <t xml:space="preserve">Mix design count	 </t>
  </si>
  <si>
    <t xml:space="preserve">Other Type of Sand </t>
  </si>
  <si>
    <t xml:space="preserve">Total </t>
  </si>
  <si>
    <t xml:space="preserve">Percentage </t>
  </si>
  <si>
    <t xml:space="preserve">Sand  Combinations </t>
  </si>
  <si>
    <t xml:space="preserve">Balast Powder </t>
  </si>
  <si>
    <t>Cement kiln dust</t>
  </si>
  <si>
    <t>dolomite</t>
  </si>
  <si>
    <t>Gold Tailings</t>
  </si>
  <si>
    <t xml:space="preserve">Iron Tailings </t>
  </si>
  <si>
    <t>Natural River sand +Masonry sand</t>
  </si>
  <si>
    <t>manufactured sand</t>
  </si>
  <si>
    <t>Pumicite</t>
  </si>
  <si>
    <t xml:space="preserve">Recycled Brick Powder </t>
  </si>
  <si>
    <t>r-FA</t>
  </si>
  <si>
    <t xml:space="preserve">Silica Flour </t>
  </si>
  <si>
    <t xml:space="preserve">Steel Slag Aggregate </t>
  </si>
  <si>
    <t xml:space="preserve">ref-89-research </t>
  </si>
  <si>
    <t>Substance</t>
  </si>
  <si>
    <t>CaO</t>
  </si>
  <si>
    <t>SiO₂</t>
  </si>
  <si>
    <t>Al₂O₃</t>
  </si>
  <si>
    <t>Fe₂O₃</t>
  </si>
  <si>
    <t>K₂O</t>
  </si>
  <si>
    <t>Na₂O</t>
  </si>
  <si>
    <t>SO₃</t>
  </si>
  <si>
    <t>MgO</t>
  </si>
  <si>
    <t>MnO</t>
  </si>
  <si>
    <t>TiO₂</t>
  </si>
  <si>
    <t>Mn₃O₄</t>
  </si>
  <si>
    <t>P₂O₅</t>
  </si>
  <si>
    <t>Cl⁻</t>
  </si>
  <si>
    <t xml:space="preserve">Specific gravity	</t>
  </si>
  <si>
    <t xml:space="preserve">ref-5-research </t>
  </si>
  <si>
    <t xml:space="preserve"> -     </t>
  </si>
  <si>
    <t>LOI</t>
  </si>
  <si>
    <t xml:space="preserve">Specific Gravity </t>
  </si>
  <si>
    <t>Natural pozzolana (NP)</t>
  </si>
  <si>
    <t xml:space="preserve">ref-155-research </t>
  </si>
  <si>
    <t xml:space="preserve"> ground granite powder (GGP)</t>
  </si>
  <si>
    <t xml:space="preserve">ref-151-research </t>
  </si>
  <si>
    <t>-</t>
  </si>
  <si>
    <t xml:space="preserve">ref-88-research </t>
  </si>
  <si>
    <t xml:space="preserve">ref-103-research </t>
  </si>
  <si>
    <t xml:space="preserve">Recycled Fine Powder </t>
  </si>
  <si>
    <t xml:space="preserve">ref-77-research </t>
  </si>
  <si>
    <t xml:space="preserve">ref-92-research </t>
  </si>
  <si>
    <t>Iron Tailings (mass%)</t>
  </si>
  <si>
    <t xml:space="preserve">Gold mine tailing </t>
  </si>
  <si>
    <t xml:space="preserve">Max Size </t>
  </si>
  <si>
    <t xml:space="preserve">ref-82-research </t>
  </si>
  <si>
    <t xml:space="preserve">ref-204-research </t>
  </si>
  <si>
    <t xml:space="preserve">ref-1-research </t>
  </si>
  <si>
    <t xml:space="preserve">ref-3-research </t>
  </si>
  <si>
    <t xml:space="preserve">ref-132-research </t>
  </si>
  <si>
    <t xml:space="preserve">ref-56-research </t>
  </si>
  <si>
    <t xml:space="preserve">Steel slag </t>
  </si>
  <si>
    <t>Dolomite</t>
  </si>
  <si>
    <t xml:space="preserve">Ground Granite Powder </t>
  </si>
  <si>
    <t>Manufactured Sand</t>
  </si>
  <si>
    <t>Natural Pozzolan</t>
  </si>
  <si>
    <t xml:space="preserve">Recycled Fine Powder  </t>
  </si>
  <si>
    <t xml:space="preserve">Recycled Fine aggregate   </t>
  </si>
  <si>
    <t>Recycled Glass Cullet</t>
  </si>
  <si>
    <t>Rejected Flyash</t>
  </si>
  <si>
    <t>Type III portland cement</t>
  </si>
  <si>
    <t>Blast furnace cement III/40</t>
  </si>
  <si>
    <t xml:space="preserve">Ordinary Portland Cement Grade 42.5 </t>
  </si>
  <si>
    <t>Ordinary Portland Cement Grade 52.5</t>
  </si>
  <si>
    <t>High sulfate-resistant cement (Type HS cement)</t>
  </si>
  <si>
    <t>Ordinary Portland cement
 Type I</t>
  </si>
  <si>
    <t>Type I/II ordinary portland cement</t>
  </si>
  <si>
    <t>Blast furnace slag cement III/40</t>
  </si>
  <si>
    <t>Type I/GGBS cement</t>
  </si>
  <si>
    <t>Type I/II low-alkali portland cement</t>
  </si>
  <si>
    <t>Type II Portland cement</t>
  </si>
  <si>
    <t>Portland type V</t>
  </si>
  <si>
    <t xml:space="preserve">White Cement </t>
  </si>
  <si>
    <t>Portland cement (PC)  with 28 days of compressive strength of
68.9 Mpa</t>
  </si>
  <si>
    <t xml:space="preserve">Unspecified </t>
  </si>
  <si>
    <t xml:space="preserve"> Portland cement</t>
  </si>
  <si>
    <t>Portland cement (PC)  GRADE 53</t>
  </si>
  <si>
    <t xml:space="preserve">Silica Fume </t>
  </si>
  <si>
    <t>Flya Ash F</t>
  </si>
  <si>
    <t>Flya Ash c</t>
  </si>
  <si>
    <t xml:space="preserve">Limestone Powder  </t>
  </si>
  <si>
    <t xml:space="preserve">Quartzpowder </t>
  </si>
  <si>
    <t>Glass Powder</t>
  </si>
  <si>
    <t xml:space="preserve">Rice Hush Ash </t>
  </si>
  <si>
    <t xml:space="preserve">GGBFS </t>
  </si>
  <si>
    <t xml:space="preserve">Steel Slag </t>
  </si>
  <si>
    <t xml:space="preserve">Nano-Al2O3 </t>
  </si>
  <si>
    <t xml:space="preserve">Nano-TiO2 </t>
  </si>
  <si>
    <t xml:space="preserve">Straight Steel Fibers </t>
  </si>
  <si>
    <t xml:space="preserve">Hooked end steel fiber </t>
  </si>
  <si>
    <t>micro mineral wollastonita fibers</t>
  </si>
  <si>
    <t>polyethylene fibers</t>
  </si>
  <si>
    <t>PP</t>
  </si>
  <si>
    <t xml:space="preserve">PVA </t>
  </si>
  <si>
    <t xml:space="preserve">Short  Straight Steel Fibers </t>
  </si>
  <si>
    <t xml:space="preserve">Long  Straight Steel Fibers </t>
  </si>
  <si>
    <t>cellulose fiber</t>
  </si>
  <si>
    <t>Twisted steel fiber</t>
  </si>
  <si>
    <t>PE</t>
  </si>
  <si>
    <t xml:space="preserve"> recycled tyre steel fibres</t>
  </si>
  <si>
    <t>carbon fibres (CF)</t>
  </si>
  <si>
    <t xml:space="preserve">Corrugated Steel Fiber </t>
  </si>
  <si>
    <t xml:space="preserve">Hooked End Steel Fiber </t>
  </si>
  <si>
    <t xml:space="preserve">Twisted Steel Fiber </t>
  </si>
  <si>
    <t xml:space="preserve">Micro glass Fiber </t>
  </si>
  <si>
    <t xml:space="preserve">Carbon Fiber </t>
  </si>
  <si>
    <t xml:space="preserve">Standard/Normal Curing </t>
  </si>
  <si>
    <t xml:space="preserve">Air Dry Curing </t>
  </si>
  <si>
    <t xml:space="preserve">Autoclaved Curing </t>
  </si>
  <si>
    <t xml:space="preserve">Heat Curing /Oven Curing </t>
  </si>
  <si>
    <t>Hot Water Curing</t>
  </si>
  <si>
    <t>Mean</t>
  </si>
  <si>
    <t>Standard Deviation</t>
  </si>
  <si>
    <t>Kurtosis</t>
  </si>
  <si>
    <t>Skewness</t>
  </si>
  <si>
    <t>Minimum</t>
  </si>
  <si>
    <t>Maximum</t>
  </si>
  <si>
    <t xml:space="preserve">Temeperature </t>
  </si>
  <si>
    <t xml:space="preserve">Mean </t>
  </si>
  <si>
    <t xml:space="preserve">Range </t>
  </si>
  <si>
    <t>20--26</t>
  </si>
  <si>
    <t>55-60</t>
  </si>
  <si>
    <t xml:space="preserve">Humidity </t>
  </si>
  <si>
    <t>85-210</t>
  </si>
  <si>
    <t>70--200</t>
  </si>
  <si>
    <t>85-100</t>
  </si>
  <si>
    <t>50-100</t>
  </si>
  <si>
    <t>20-30</t>
  </si>
  <si>
    <t>65--90</t>
  </si>
  <si>
    <t>65-150</t>
  </si>
  <si>
    <t>95-100</t>
  </si>
  <si>
    <t xml:space="preserve">Slump </t>
  </si>
  <si>
    <t xml:space="preserve">Slump Flow </t>
  </si>
  <si>
    <t>40 x 40 x 160</t>
  </si>
  <si>
    <t>40 x 40 x 80</t>
  </si>
  <si>
    <t>50 x 50 x 50</t>
  </si>
  <si>
    <t>50 x 50 x 100</t>
  </si>
  <si>
    <t>70 x 70 x 70</t>
  </si>
  <si>
    <t xml:space="preserve">Cube </t>
  </si>
  <si>
    <t>cylindrical molds of 75  x 150 mm</t>
  </si>
  <si>
    <t>Cylinder 100 x 100</t>
  </si>
  <si>
    <t>CYLINDER 100 X 200</t>
  </si>
  <si>
    <t>Cylinder 110 x 220</t>
  </si>
  <si>
    <t>Cylinder 150 x 300</t>
  </si>
  <si>
    <t>Cylinder 50 x 100</t>
  </si>
  <si>
    <t>cylinders 50 X 50</t>
  </si>
  <si>
    <t>Elastic Modulus (Gpa)</t>
  </si>
  <si>
    <t>Split Tensile Strength (Mpa)</t>
  </si>
  <si>
    <t>Direct Tensile Strength (Mpa)</t>
  </si>
  <si>
    <t>LOP (Mpa)</t>
  </si>
  <si>
    <t>Peak Strength (MPa)</t>
  </si>
  <si>
    <t>Air Content %</t>
  </si>
  <si>
    <t>Air Void %</t>
  </si>
  <si>
    <t>28-day Shrinkage (µstrain)</t>
  </si>
  <si>
    <t>56-day Shrinkage (µstrain)</t>
  </si>
  <si>
    <t>Freezing and Thawing</t>
  </si>
  <si>
    <t>Surface Resistivity (kΩ-mm)</t>
  </si>
  <si>
    <t>Water absorption (%)</t>
  </si>
  <si>
    <t xml:space="preserve"> </t>
  </si>
  <si>
    <t>Copper Slag</t>
  </si>
  <si>
    <t xml:space="preserve">Steam Curing </t>
  </si>
  <si>
    <t>Tensile Strength (MPa)</t>
  </si>
  <si>
    <t>Diameter (mm)</t>
  </si>
  <si>
    <t>Length (mm)</t>
  </si>
  <si>
    <t xml:space="preserve">Metakolin </t>
  </si>
  <si>
    <t xml:space="preserve">Limestone </t>
  </si>
  <si>
    <t>GGBFS</t>
  </si>
  <si>
    <t xml:space="preserve">Metakaolin </t>
  </si>
  <si>
    <t xml:space="preserve">Typr Hs cement </t>
  </si>
  <si>
    <t>53.32 - 66.8</t>
  </si>
  <si>
    <t>15.4 - 29.67</t>
  </si>
  <si>
    <t>3.74 - 8</t>
  </si>
  <si>
    <t>1.8 - 5.4</t>
  </si>
  <si>
    <t>0.13 - 1.2</t>
  </si>
  <si>
    <t>0.07 - 0.73</t>
  </si>
  <si>
    <t>0.58 - 3.66</t>
  </si>
  <si>
    <t>0.86 - 4.1</t>
  </si>
  <si>
    <t>0.1 -0.1</t>
  </si>
  <si>
    <t>0.09 -0.3</t>
  </si>
  <si>
    <t>0.001 -0.013</t>
  </si>
  <si>
    <t>1 - 11.6</t>
  </si>
  <si>
    <t xml:space="preserve">3.1 - 3.15 </t>
  </si>
  <si>
    <t>54.6 - 69.02</t>
  </si>
  <si>
    <t>17.33 - 29.67</t>
  </si>
  <si>
    <t>0.21 - 8.33</t>
  </si>
  <si>
    <t>0.36 - 5.23</t>
  </si>
  <si>
    <t>0.04 - 1.06</t>
  </si>
  <si>
    <t>0.08 - 1</t>
  </si>
  <si>
    <t>1.74 - 4.1</t>
  </si>
  <si>
    <t>0.6 - 5.31</t>
  </si>
  <si>
    <t>0.01 0.22</t>
  </si>
  <si>
    <t>0.07 -0.6</t>
  </si>
  <si>
    <t>0.02 - 0.1</t>
  </si>
  <si>
    <t>0 - 0.74</t>
  </si>
  <si>
    <t>0.005 - 0.11</t>
  </si>
  <si>
    <t xml:space="preserve">0 - 11.6 </t>
  </si>
  <si>
    <t xml:space="preserve">3.1 - 3.25 </t>
  </si>
  <si>
    <t>61.33 - 76.2</t>
  </si>
  <si>
    <t>11.8 - 22.09</t>
  </si>
  <si>
    <t>1.88 - 6.4</t>
  </si>
  <si>
    <t>2.9 - 4.34</t>
  </si>
  <si>
    <t>0.35 - 1.51</t>
  </si>
  <si>
    <t xml:space="preserve">0.14 - 0.3 </t>
  </si>
  <si>
    <t>1.86 - 3.64</t>
  </si>
  <si>
    <t>0.82 - 3.3</t>
  </si>
  <si>
    <t>0.06 - 0.12</t>
  </si>
  <si>
    <t>0.06 - 0.6</t>
  </si>
  <si>
    <t xml:space="preserve">0.7 - 2.5 </t>
  </si>
  <si>
    <t xml:space="preserve">3.15 - 3.18 </t>
  </si>
  <si>
    <t>63.8 - 64.3</t>
  </si>
  <si>
    <t>20.2 - 22.3</t>
  </si>
  <si>
    <t>3.4 - 4.3</t>
  </si>
  <si>
    <t>2.8 - 3.1</t>
  </si>
  <si>
    <t>0.35 - 2.5</t>
  </si>
  <si>
    <t>1.6 - 2.3</t>
  </si>
  <si>
    <t xml:space="preserve">Type I/II low-alkali portland cement based on </t>
  </si>
  <si>
    <t xml:space="preserve">Research Paper </t>
  </si>
  <si>
    <t xml:space="preserve">Ordinary Portland cement
 Type I Composition  </t>
  </si>
  <si>
    <t xml:space="preserve">Nano-CaCO3 </t>
  </si>
  <si>
    <t xml:space="preserve">Nano Silica </t>
  </si>
  <si>
    <t xml:space="preserve"> Recycled Tyre Steel fibres</t>
  </si>
  <si>
    <t xml:space="preserve">Mix Design </t>
  </si>
  <si>
    <t>8--62</t>
  </si>
  <si>
    <t>0.2--0.775</t>
  </si>
  <si>
    <t>1200--2900</t>
  </si>
  <si>
    <t>200--203</t>
  </si>
  <si>
    <t>6--60</t>
  </si>
  <si>
    <t>0.032--0.55</t>
  </si>
  <si>
    <t>1100-4200</t>
  </si>
  <si>
    <t>200--210</t>
  </si>
  <si>
    <t>8--30</t>
  </si>
  <si>
    <t>2100---2428</t>
  </si>
  <si>
    <t>12--36</t>
  </si>
  <si>
    <t>12--18</t>
  </si>
  <si>
    <t>0.015--0.03</t>
  </si>
  <si>
    <t>2400--3900</t>
  </si>
  <si>
    <t>42.80--145</t>
  </si>
  <si>
    <t>0.039-0.2</t>
  </si>
  <si>
    <t>Nominal Young’s modulus  GPa</t>
  </si>
  <si>
    <t>Micro mineral wollastonita fibers</t>
  </si>
  <si>
    <t>Rapid Chloride Permeability Test (Coulombs)</t>
  </si>
  <si>
    <t xml:space="preserve">Compressive Strength </t>
  </si>
  <si>
    <t xml:space="preserve">Tensile Strength Parameters </t>
  </si>
  <si>
    <t>Durability Property</t>
  </si>
  <si>
    <t xml:space="preserve">Country wise Publications </t>
  </si>
  <si>
    <t xml:space="preserve">Year Wise Publication </t>
  </si>
  <si>
    <t>Phosphorous Slag</t>
  </si>
  <si>
    <t>Ultrafine Slag Powder</t>
  </si>
  <si>
    <t xml:space="preserve">0.0001 - 2.25 </t>
  </si>
  <si>
    <t xml:space="preserve">82.22 - 99.8 </t>
  </si>
  <si>
    <t>0 - 2.22</t>
  </si>
  <si>
    <t xml:space="preserve">0.02 - 2.44 </t>
  </si>
  <si>
    <t xml:space="preserve">0.01 - 4.12 </t>
  </si>
  <si>
    <t xml:space="preserve">0 - 1.3 </t>
  </si>
  <si>
    <t xml:space="preserve"> 0 - 0.99</t>
  </si>
  <si>
    <t xml:space="preserve">0 - 3.41 </t>
  </si>
  <si>
    <t>0 - 0.654</t>
  </si>
  <si>
    <t>0 - 0.3</t>
  </si>
  <si>
    <t>0.01 - 1.04</t>
  </si>
  <si>
    <t xml:space="preserve">0 - 1.31 </t>
  </si>
  <si>
    <t xml:space="preserve">0.0011 - 2.6 </t>
  </si>
  <si>
    <t>0 - 6</t>
  </si>
  <si>
    <t xml:space="preserve">2.1 - 2.6 </t>
  </si>
  <si>
    <t>1.8025 - 14.45</t>
  </si>
  <si>
    <t>42.3 - 62.08</t>
  </si>
  <si>
    <t>18.56 -38.01</t>
  </si>
  <si>
    <t xml:space="preserve">2.784 - 12.49 </t>
  </si>
  <si>
    <t>0.5 - 2.26</t>
  </si>
  <si>
    <t>0.33 - 2.23</t>
  </si>
  <si>
    <t>0.2 - 4.24</t>
  </si>
  <si>
    <t>0.23 - 3.79</t>
  </si>
  <si>
    <t>0.019 - 0.104</t>
  </si>
  <si>
    <t>0.312 - 1.67</t>
  </si>
  <si>
    <t>0.11 - 1.2</t>
  </si>
  <si>
    <t>0 - 0.89</t>
  </si>
  <si>
    <t>0.0149 - 0.02</t>
  </si>
  <si>
    <t>0.168 - 7.74</t>
  </si>
  <si>
    <t>2.24 -2.9</t>
  </si>
  <si>
    <t>16.05 - 28.1</t>
  </si>
  <si>
    <t>35.8 - 42.1</t>
  </si>
  <si>
    <t>14 - 24.8</t>
  </si>
  <si>
    <t>4.6 - 22.9</t>
  </si>
  <si>
    <t>0.57 - 2.09</t>
  </si>
  <si>
    <t>0.4 - 9.2</t>
  </si>
  <si>
    <t>0 - 3.3</t>
  </si>
  <si>
    <t>1.8 - 4.3</t>
  </si>
  <si>
    <t>0.25 - 0.25</t>
  </si>
  <si>
    <t>1.45 - 1.45</t>
  </si>
  <si>
    <t>1.15 - 1.15</t>
  </si>
  <si>
    <t>0.3 - 1.3</t>
  </si>
  <si>
    <t>1.3 - 2.1</t>
  </si>
  <si>
    <t>2.58 - 2.7</t>
  </si>
  <si>
    <t>Fly Ash Class C</t>
  </si>
  <si>
    <t>Fly Ash Class F</t>
  </si>
  <si>
    <t>0.01 - 1.61</t>
  </si>
  <si>
    <t>95.5 - 99.8</t>
  </si>
  <si>
    <t>0.05 - 0.75</t>
  </si>
  <si>
    <t>0.01 - 0.74</t>
  </si>
  <si>
    <t>0.02 - 3.5</t>
  </si>
  <si>
    <t>0.02 - 0.25</t>
  </si>
  <si>
    <t>0 - 0.9</t>
  </si>
  <si>
    <t>0 - 0.21</t>
  </si>
  <si>
    <t>0 - 0.01</t>
  </si>
  <si>
    <t>0 - 0.25</t>
  </si>
  <si>
    <t>0.003 - 1.51</t>
  </si>
  <si>
    <t>0.13 - 0.13</t>
  </si>
  <si>
    <t>0.02 - 3.45</t>
  </si>
  <si>
    <t>2.65 - 2.73</t>
  </si>
  <si>
    <t>Quartzpowder</t>
  </si>
  <si>
    <t>4.1 - 11.3</t>
  </si>
  <si>
    <t>55.6 - 99</t>
  </si>
  <si>
    <t>0.24 - 3.6</t>
  </si>
  <si>
    <t>0.046 - 1.77</t>
  </si>
  <si>
    <t>0.28 - 8.1</t>
  </si>
  <si>
    <t>10.46 - 14.91</t>
  </si>
  <si>
    <t>0.03 - 0.25</t>
  </si>
  <si>
    <t>0.51 - 3.45</t>
  </si>
  <si>
    <t>0.04 - 0.06</t>
  </si>
  <si>
    <t>0 - 0</t>
  </si>
  <si>
    <t>0 - 0.02</t>
  </si>
  <si>
    <t>0.05 - 0.6</t>
  </si>
  <si>
    <t>0.09 - 13.55</t>
  </si>
  <si>
    <t>0.71 - 1.35</t>
  </si>
  <si>
    <t>87.4 - 92</t>
  </si>
  <si>
    <t>0.19 - 0.61</t>
  </si>
  <si>
    <t>0.17 - 0.63</t>
  </si>
  <si>
    <t>1.87 - 4.6</t>
  </si>
  <si>
    <t>0 - 0.2</t>
  </si>
  <si>
    <t>0.39 - 0.47</t>
  </si>
  <si>
    <t>0.47 - 0.8</t>
  </si>
  <si>
    <t>0.28 - 0.7</t>
  </si>
  <si>
    <t>0.75 - 0.75</t>
  </si>
  <si>
    <t>0.76 - 4.6</t>
  </si>
  <si>
    <t>2.19 - 2.19</t>
  </si>
  <si>
    <t>0.03 - 1.15</t>
  </si>
  <si>
    <t>46.65 - 58.1</t>
  </si>
  <si>
    <t>35.14 - 45.77</t>
  </si>
  <si>
    <t>0.51 - 3.87</t>
  </si>
  <si>
    <t>0.1 - 1.42</t>
  </si>
  <si>
    <t>0.02 - 1.52</t>
  </si>
  <si>
    <t>0.03 - 0.15</t>
  </si>
  <si>
    <t>0.07 - 2.66</t>
  </si>
  <si>
    <t>1.5 - 1.5</t>
  </si>
  <si>
    <t>0.61 - 0.61</t>
  </si>
  <si>
    <t>0.59 - 1.85</t>
  </si>
  <si>
    <t>2.5 - 2.6</t>
  </si>
  <si>
    <t>32.13 - 45.86</t>
  </si>
  <si>
    <t>25.52 - 40.9</t>
  </si>
  <si>
    <t>0.72 - 14.89</t>
  </si>
  <si>
    <t>0.2 - 18.9</t>
  </si>
  <si>
    <t>0.1 - 1.44</t>
  </si>
  <si>
    <t>0.2 - 0.46</t>
  </si>
  <si>
    <t>0.06 - 7.4</t>
  </si>
  <si>
    <t>3.41 - 10.8</t>
  </si>
  <si>
    <t>0.3 - 0.5</t>
  </si>
  <si>
    <t>0.5 - 0.8</t>
  </si>
  <si>
    <t>0.01 - 0.03</t>
  </si>
  <si>
    <t>0.01 - 0.11</t>
  </si>
  <si>
    <t>0.04 - 5.1</t>
  </si>
  <si>
    <t>0.1 - 3.52</t>
  </si>
  <si>
    <t>2.78 - 2.91</t>
  </si>
  <si>
    <t>41.001 - 48.66</t>
  </si>
  <si>
    <t>12.67 - 19.11</t>
  </si>
  <si>
    <t>0.84 - 7.46</t>
  </si>
  <si>
    <t>18.01 - 22.69</t>
  </si>
  <si>
    <t>0.06 - 0.06</t>
  </si>
  <si>
    <t>0.119 - 0.41</t>
  </si>
  <si>
    <t>0.344 - 0.344</t>
  </si>
  <si>
    <t>2.8 - 6.138</t>
  </si>
  <si>
    <t>2.66 - 4.393</t>
  </si>
  <si>
    <t>1.042 - 1.042</t>
  </si>
  <si>
    <t>1.5 - 1.76</t>
  </si>
  <si>
    <t>8.59 - 8.59</t>
  </si>
  <si>
    <t xml:space="preserve">2.81 - 3.75 </t>
  </si>
  <si>
    <t>49.27 - 89.56</t>
  </si>
  <si>
    <t>0.07 - 4.36</t>
  </si>
  <si>
    <t>0 - 1.06</t>
  </si>
  <si>
    <t>0.02 - 1.6</t>
  </si>
  <si>
    <t>0 - 7.708</t>
  </si>
  <si>
    <t>0.01 - 0.627</t>
  </si>
  <si>
    <t>0.02 - 0.48</t>
  </si>
  <si>
    <t>0.13 - 2.891</t>
  </si>
  <si>
    <t>0 - 1.605</t>
  </si>
  <si>
    <t>0 - 0.241</t>
  </si>
  <si>
    <t>0.01 - 46.62</t>
  </si>
  <si>
    <t>2.64 - 2.7</t>
  </si>
  <si>
    <t xml:space="preserve">Unspecified Flyash </t>
  </si>
  <si>
    <t>98 - 98.8</t>
  </si>
  <si>
    <t>Iron Tailings</t>
  </si>
  <si>
    <t>Mixes</t>
  </si>
  <si>
    <t xml:space="preserve">Compressive Speciemens </t>
  </si>
  <si>
    <t xml:space="preserve">100 x 100 x 300 </t>
  </si>
  <si>
    <t>100 x 100 x 400</t>
  </si>
  <si>
    <t xml:space="preserve">100 x 100 x 500 </t>
  </si>
  <si>
    <t>25 x 25 x 100</t>
  </si>
  <si>
    <t>25 x 50 x 508</t>
  </si>
  <si>
    <t>35 x 70 x 330</t>
  </si>
  <si>
    <t>50 x 50 x 200</t>
  </si>
  <si>
    <t>70 x 70 x 280</t>
  </si>
  <si>
    <t xml:space="preserve">70 x 70 x 350 </t>
  </si>
  <si>
    <t>75 x 75 x 300</t>
  </si>
  <si>
    <t>75 x 75 x 305</t>
  </si>
  <si>
    <t>75×100x 400</t>
  </si>
  <si>
    <t>76 × 76 × 419</t>
  </si>
  <si>
    <t>76.2 X 76.2 X 304</t>
  </si>
  <si>
    <t>76×102×406</t>
  </si>
  <si>
    <t xml:space="preserve">Flexural Specimens </t>
  </si>
  <si>
    <t xml:space="preserve">Composition of Cements </t>
  </si>
  <si>
    <t xml:space="preserve">Composition of Fillers </t>
  </si>
  <si>
    <t xml:space="preserve">Synergetic Fibers </t>
  </si>
  <si>
    <t xml:space="preserve">Single Fiber </t>
  </si>
  <si>
    <t xml:space="preserve">Physical Properities of Fiber </t>
  </si>
  <si>
    <t xml:space="preserve">Distribution of 28 days Compressive Strength </t>
  </si>
  <si>
    <t>Sand in the dataset</t>
  </si>
  <si>
    <t>Fillers in the dataset</t>
  </si>
  <si>
    <t>Composition of SCMS present in the dataset</t>
  </si>
  <si>
    <t>Cube 100 x 100 x 100</t>
  </si>
  <si>
    <t>Cube 100 x 100 x 300</t>
  </si>
  <si>
    <t>Cube 150  X 150 X 150</t>
  </si>
  <si>
    <t>Cube 40 x 40 x 160</t>
  </si>
  <si>
    <t xml:space="preserve">Cube 40 X 40 X 40 </t>
  </si>
  <si>
    <t>Unspecified</t>
  </si>
  <si>
    <t>Other Polymer/Acrylic/Acrylate Superplasticizers</t>
  </si>
  <si>
    <t>Poly-Acrylic Ester based type SP</t>
  </si>
  <si>
    <t>High water reducer superplasticizer containing acrylic copolymer</t>
  </si>
  <si>
    <t>acrylic-basedsuperplasticizers</t>
  </si>
  <si>
    <t>acrylic-based superplasticizer</t>
  </si>
  <si>
    <t>GLE NIUM®SKY 561 superplasticizer</t>
  </si>
  <si>
    <t>Superplasticizer Sika Viscorete 2810</t>
  </si>
  <si>
    <t>CX-8 superplasticizer (SP) with water-reducing</t>
  </si>
  <si>
    <t>Plasticizer
Glenium® 51</t>
  </si>
  <si>
    <t>VMA (i.e.
RHEOMAC® VMA 362</t>
  </si>
  <si>
    <t>VC-2044</t>
  </si>
  <si>
    <t>superplasticizer (SP) CX-8</t>
  </si>
  <si>
    <t xml:space="preserve"> SIKA-Austria</t>
  </si>
  <si>
    <t>MasterGlenium51</t>
  </si>
  <si>
    <t>Super plasticizer Sika Viscorete 2811</t>
  </si>
  <si>
    <t>Super plasticizer Sika Viscorete 2812</t>
  </si>
  <si>
    <t>Sika
Viscocrete Krono HE 20 superplasticizer (SP)</t>
  </si>
  <si>
    <t>Superplasticizer</t>
  </si>
  <si>
    <t xml:space="preserve"> Chryso Optima 175</t>
  </si>
  <si>
    <t>Sika ViscoCrete-2044, a polycarboxylic ether based superplasticizer</t>
  </si>
  <si>
    <t>superplasticizer of sulfonated naphthalene formaldehyde based</t>
  </si>
  <si>
    <t>Advacast 575 high range water reducer</t>
  </si>
  <si>
    <t xml:space="preserve">polycsarboxylic-acid-based superplasticizer (SP) </t>
  </si>
  <si>
    <t>Superplasticiser-Sika</t>
  </si>
  <si>
    <t>HE 200 hyperplasticizer</t>
  </si>
  <si>
    <t>Other Types (Commercial) Superplasticizers</t>
  </si>
  <si>
    <t>Polycarboxylate-based Superplasticizer (HRWRA/SP)</t>
  </si>
  <si>
    <t>Polycarboxylic Ether (PCE) based Superplasticizer (HRWRA/SP)</t>
  </si>
  <si>
    <t>High Performance or  High Range Water Reducer Admixture (HRWRA)</t>
  </si>
  <si>
    <t xml:space="preserve">Type of  Superplasticizer </t>
  </si>
  <si>
    <t xml:space="preserve">Type of  Superplasticizer  in the dataset </t>
  </si>
  <si>
    <t xml:space="preserve">Percentage (%) </t>
  </si>
  <si>
    <t>ASTM C143, Chinese standard GB/T 50080–2016, GB/T50081-2002, 2002; ASTM C143–C143M-15a, 2015</t>
  </si>
  <si>
    <t xml:space="preserve">ASTM C 1437, AS 1012.3.5, ASTM C230, ASTM C1611, Chinese standard GB/T 2419–2005, Chinese standard GB/T 50080–2016, GB/T50081-2002, 2002; ASTM C143–C143M-15a, 2015, BS EN 445: 2007, BS-EN-1015-3, BS EN 4551, Deliverable ARCHES D06 (2009), EFNARC, CECS (2009), EN-12350-8 (2010), GB/T17671-2021, ASTM C1856  </t>
  </si>
  <si>
    <t xml:space="preserve">BS1881,  ASTM C469, ASTM C 109, BS EN 196, BS EN 12390, EN 1015, EN 12390, ASTM C39, EN 1992, Chinese standard GB-T50081-2002 , GB/T 17671-1999, GB/T 31387-2015, BS EN 1881, ASTM C 116, FHWA-HRT-06–103, AS1012.9, ASTM C 348, ASTM C1856, GB177-85, ASTM C1609, IS 4031-1988, Chinese standard test specification (CECS 2009), Swiss standard SIA 2052–2016
</t>
  </si>
  <si>
    <t xml:space="preserve">Elastic Modulus </t>
  </si>
  <si>
    <t>ASTM C 469, ASTM C39,  AS 1012.17,Chinese standard GB-T50081-2002, BS 1881-121, EN 12390, GB/T17671-2021, EN 13412:2007, DIN 1048-5:1991-06, DIN EN 12390-3:2009-07 and DIN 1045-1</t>
  </si>
  <si>
    <t xml:space="preserve">Split Tensile Strength </t>
  </si>
  <si>
    <t>AS 1012.10, ASTM C496, EN 12390-6, GB/T 31387-2015, GB/T50081-2002, BS 1881: 1983, Leutbecher Thesis</t>
  </si>
  <si>
    <t xml:space="preserve">Direct Tensile Strength </t>
  </si>
  <si>
    <t xml:space="preserve">JSCE 2008
</t>
  </si>
  <si>
    <t xml:space="preserve">Flexural Strength </t>
  </si>
  <si>
    <t>ASTM C348, ASTM C78, ASTM C 1018, ASTM C1609, ASTM C 116, ASTM E 399-12, ASTM C1856, ASTM C109, AS 1012.11, Chinese standard GB-T50081-2002, GB/T 17671-1999 (similar to ISO 697:1989), GB177-85, NF EN196-1, EN 1015-11,  BS1881, BS EN 12390 Part5, Chinese standard test specification (CECS 2009), RILEM 50-FMC/198 Technical Committee,  JCI-S-002-2003 standard,  JSCE SF-4 for Flexural toughness</t>
  </si>
  <si>
    <t xml:space="preserve"> ASTM C642, NT Build 492, ASTM C1202, ASTM C185, ASTM C457, ASTM C 231, EN 1015–7:2000, CEMBUREAU</t>
  </si>
  <si>
    <t xml:space="preserve"> ASTM C-642,  AS/NZS 4456.17, BS BS1881: Part 122, IS 3495 (Part 2) (BSI 1992)</t>
  </si>
  <si>
    <t>ASTM C157, ASTM C1698, JTG E30-2005, BS EN 12617–4,  DIN 52450</t>
  </si>
  <si>
    <t>ASTM C666, RILEM TC 176-IDC</t>
  </si>
  <si>
    <t>ASTM C1202</t>
  </si>
  <si>
    <t>AASHTO T 358</t>
  </si>
  <si>
    <t xml:space="preserve">Air Content, Air Void and Porosity  </t>
  </si>
  <si>
    <t>Water Absorption</t>
  </si>
  <si>
    <t>Shrinkage</t>
  </si>
  <si>
    <t>Rapid Chloride Permeability</t>
  </si>
  <si>
    <t>Surface Resistivity</t>
  </si>
  <si>
    <t xml:space="preserve">Properities </t>
  </si>
  <si>
    <t>Testing Standards</t>
  </si>
  <si>
    <t xml:space="preserve">List of Testing Standards </t>
  </si>
  <si>
    <t>Workability</t>
  </si>
  <si>
    <t>Slump (mm)</t>
  </si>
  <si>
    <t>Slump Flow (mm)</t>
  </si>
  <si>
    <t>1-day (MPa)</t>
  </si>
  <si>
    <t>3-Day (MPa)</t>
  </si>
  <si>
    <t>7-Day (MPa)</t>
  </si>
  <si>
    <t>14-Day (MPa)</t>
  </si>
  <si>
    <t xml:space="preserve">21 days (MPa) </t>
  </si>
  <si>
    <t>28-Day (MPa)</t>
  </si>
  <si>
    <t>56-Day (MPa)</t>
  </si>
  <si>
    <t>90-Day (MPa)</t>
  </si>
  <si>
    <t>Peak tensile strain (%)</t>
  </si>
  <si>
    <t>Tensile Elastic Modulus (Gpa)</t>
  </si>
  <si>
    <t>Strain Capacity (%)</t>
  </si>
  <si>
    <t>First Cracking Strength (Mpa)</t>
  </si>
  <si>
    <t>MOR  (MPa)</t>
  </si>
  <si>
    <t>Residual Strength (f600) (MPa)</t>
  </si>
  <si>
    <t>Residual Strength (f150) (MPa)</t>
  </si>
  <si>
    <t>Toughness (J)</t>
  </si>
  <si>
    <t>Porosity (%)</t>
  </si>
  <si>
    <t>Freezing and Thawing (Cycles)</t>
  </si>
  <si>
    <r>
      <rPr>
        <b/>
        <sz val="12"/>
        <color theme="1"/>
        <rFont val="Aptos Narrow"/>
        <family val="2"/>
        <scheme val="minor"/>
      </rPr>
      <t>Readme – Summary of UHPC Global Dataset</t>
    </r>
    <r>
      <rPr>
        <sz val="12"/>
        <color theme="1"/>
        <rFont val="Aptos Narrow"/>
        <family val="2"/>
        <scheme val="minor"/>
      </rPr>
      <t xml:space="preserve">
This Excel file provides a comprehensive summary of the global Ultra-High Performance Concrete (UHPC) mix design dataset. The file is organized into multiple tabs.
</t>
    </r>
    <r>
      <rPr>
        <b/>
        <sz val="12"/>
        <color theme="1"/>
        <rFont val="Aptos Narrow"/>
        <family val="2"/>
        <scheme val="minor"/>
      </rPr>
      <t xml:space="preserve">1.	Regional and Year Wise Publication: </t>
    </r>
    <r>
      <rPr>
        <sz val="12"/>
        <color theme="1"/>
        <rFont val="Aptos Narrow"/>
        <family val="2"/>
        <scheme val="minor"/>
      </rPr>
      <t xml:space="preserve">Lists the number of UHPC mix designs and source publications by country and year. 
2.	</t>
    </r>
    <r>
      <rPr>
        <b/>
        <sz val="12"/>
        <color theme="1"/>
        <rFont val="Aptos Narrow"/>
        <family val="2"/>
        <scheme val="minor"/>
      </rPr>
      <t xml:space="preserve">Cement and Composition: </t>
    </r>
    <r>
      <rPr>
        <sz val="12"/>
        <color theme="1"/>
        <rFont val="Aptos Narrow"/>
        <family val="2"/>
        <scheme val="minor"/>
      </rPr>
      <t xml:space="preserve">Summarizes the types and chemical composition of cement used in the dataset. 
3.	</t>
    </r>
    <r>
      <rPr>
        <b/>
        <sz val="12"/>
        <color theme="1"/>
        <rFont val="Aptos Narrow"/>
        <family val="2"/>
        <scheme val="minor"/>
      </rPr>
      <t xml:space="preserve">SCMs and Nano Particles: </t>
    </r>
    <r>
      <rPr>
        <sz val="12"/>
        <color theme="1"/>
        <rFont val="Aptos Narrow"/>
        <family val="2"/>
        <scheme val="minor"/>
      </rPr>
      <t xml:space="preserve">Details the supplementary cementitious materials (SCMs), nano additives, and their chemical compositions found across the dataset. 
</t>
    </r>
    <r>
      <rPr>
        <b/>
        <sz val="12"/>
        <color theme="1"/>
        <rFont val="Aptos Narrow"/>
        <family val="2"/>
        <scheme val="minor"/>
      </rPr>
      <t xml:space="preserve">4.	Sand and Fillers: </t>
    </r>
    <r>
      <rPr>
        <sz val="12"/>
        <color theme="1"/>
        <rFont val="Aptos Narrow"/>
        <family val="2"/>
        <scheme val="minor"/>
      </rPr>
      <t xml:space="preserve">Lists the types of sand (e.g., quartz, river, silica) and sustainable fillers (e.g., glass powder, recycled brick, iron tailings) used, as well as their composition. 
</t>
    </r>
    <r>
      <rPr>
        <b/>
        <sz val="12"/>
        <color theme="1"/>
        <rFont val="Aptos Narrow"/>
        <family val="2"/>
        <scheme val="minor"/>
      </rPr>
      <t xml:space="preserve">5.	Fibers: </t>
    </r>
    <r>
      <rPr>
        <sz val="12"/>
        <color theme="1"/>
        <rFont val="Aptos Narrow"/>
        <family val="2"/>
        <scheme val="minor"/>
      </rPr>
      <t xml:space="preserve">Details the types of fibers (metallic, synthetic, mineral, hybrid), their geometric and mechanical properties (e.g., length, diameter, tensile strength), and summarizes their usage across the database.
</t>
    </r>
    <r>
      <rPr>
        <b/>
        <sz val="12"/>
        <color theme="1"/>
        <rFont val="Aptos Narrow"/>
        <family val="2"/>
        <scheme val="minor"/>
      </rPr>
      <t xml:space="preserve">6.	Superplasticizer: </t>
    </r>
    <r>
      <rPr>
        <sz val="12"/>
        <color theme="1"/>
        <rFont val="Aptos Narrow"/>
        <family val="2"/>
        <scheme val="minor"/>
      </rPr>
      <t xml:space="preserve">Provides information on the different types of superplasticizers used in UHPC mixes. 
</t>
    </r>
    <r>
      <rPr>
        <b/>
        <sz val="12"/>
        <color theme="1"/>
        <rFont val="Aptos Narrow"/>
        <family val="2"/>
        <scheme val="minor"/>
      </rPr>
      <t xml:space="preserve">7.	Curing Regime: </t>
    </r>
    <r>
      <rPr>
        <sz val="12"/>
        <color theme="1"/>
        <rFont val="Aptos Narrow"/>
        <family val="2"/>
        <scheme val="minor"/>
      </rPr>
      <t xml:space="preserve">Provides information on the curing methods (standard, steam, heat, autoclave, etc.), including mean and range of temperature, humidity and pressure.
</t>
    </r>
    <r>
      <rPr>
        <b/>
        <sz val="12"/>
        <color theme="1"/>
        <rFont val="Aptos Narrow"/>
        <family val="2"/>
        <scheme val="minor"/>
      </rPr>
      <t xml:space="preserve">8.	Specimens and Properties: </t>
    </r>
    <r>
      <rPr>
        <sz val="12"/>
        <color theme="1"/>
        <rFont val="Aptos Narrow"/>
        <family val="2"/>
        <scheme val="minor"/>
      </rPr>
      <t xml:space="preserve">Summarizes testing parameters and results, such as workability (slump, slump flow), mechanical properties (compressive, tensile, and flexural strengths), and durability (shrinkage, chloride permeability, freeze-thaw resistance, etc.). It also lists specimen sizes and types used in these tests.
</t>
    </r>
    <r>
      <rPr>
        <b/>
        <sz val="12"/>
        <color theme="1"/>
        <rFont val="Aptos Narrow"/>
        <family val="2"/>
        <scheme val="minor"/>
      </rPr>
      <t xml:space="preserve">9.      Testing Standards: </t>
    </r>
    <r>
      <rPr>
        <sz val="12"/>
        <color theme="1"/>
        <rFont val="Aptos Narrow"/>
        <family val="2"/>
        <scheme val="minor"/>
      </rPr>
      <t xml:space="preserve">Lists all the testing standards referenced across the dataset. The standards cover testing of compressive strength, flexural strength, splitting tensile strength, durability (e.g., shrinkage, chloride permeability, freeze–thaw resistance), and other performance properties. </t>
    </r>
    <r>
      <rPr>
        <b/>
        <sz val="12"/>
        <color theme="1"/>
        <rFont val="Aptos Narrow"/>
        <family val="2"/>
        <scheme val="minor"/>
      </rPr>
      <t xml:space="preserve">
10.	Distribution of 28 Days Compressive Strength: </t>
    </r>
    <r>
      <rPr>
        <sz val="12"/>
        <color theme="1"/>
        <rFont val="Aptos Narrow"/>
        <family val="2"/>
        <scheme val="minor"/>
      </rPr>
      <t>Presents the statistical distribution and overall trends for 28-day compressive strength values in the database.</t>
    </r>
  </si>
  <si>
    <t xml:space="preserve">1.2 MPa for 4 hrs - 2 MPa for 8 hrs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</si>
</sst>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00"/>
  </numFmts>
  <fonts count="23"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sz val="10"/>
      <color theme="1"/>
      <name val="Arial"/>
      <family val="2"/>
    </font>
    <font>
      <sz val="9.6"/>
      <color theme="1"/>
      <name val="Segoe UI"/>
      <family val="2"/>
    </font>
    <font>
      <sz val="8"/>
      <name val="Aptos Narrow"/>
      <family val="2"/>
      <scheme val="minor"/>
    </font>
    <font>
      <sz val="11"/>
      <color theme="1"/>
      <name val="Aptos Narrow"/>
      <family val="2"/>
      <scheme val="minor"/>
    </font>
    <font>
      <b/>
      <sz val="11"/>
      <color rgb="FF1F1F1F"/>
      <name val="Aptos Narrow"/>
      <family val="2"/>
      <scheme val="minor"/>
    </font>
    <font>
      <sz val="11"/>
      <color rgb="FF1F1F1F"/>
      <name val="Aptos Narrow"/>
      <family val="2"/>
      <scheme val="minor"/>
    </font>
    <font>
      <sz val="10"/>
      <color theme="1"/>
      <name val="Aptos Narrow"/>
      <family val="2"/>
      <scheme val="minor"/>
    </font>
    <font>
      <sz val="10"/>
      <color rgb="FF1F1F1F"/>
      <name val="Aptos Narrow"/>
      <family val="2"/>
      <scheme val="minor"/>
    </font>
    <font>
      <sz val="10"/>
      <color rgb="FF000000"/>
      <name val="Aptos Narrow"/>
      <family val="2"/>
      <scheme val="minor"/>
    </font>
    <font>
      <b/>
      <sz val="10"/>
      <color theme="1"/>
      <name val="Aptos Narrow"/>
      <family val="2"/>
      <scheme val="minor"/>
    </font>
    <font>
      <sz val="12"/>
      <color theme="1"/>
      <name val="Aptos Narrow"/>
      <family val="2"/>
      <scheme val="minor"/>
    </font>
    <font>
      <b/>
      <sz val="16"/>
      <color theme="1"/>
      <name val="Aptos Narrow"/>
      <family val="2"/>
      <scheme val="minor"/>
    </font>
    <font>
      <b/>
      <sz val="12"/>
      <color theme="1"/>
      <name val="Aptos Narrow"/>
      <family val="2"/>
      <scheme val="minor"/>
    </font>
    <font>
      <b/>
      <sz val="14"/>
      <color theme="1"/>
      <name val="Aptos Narrow"/>
      <family val="2"/>
      <scheme val="minor"/>
    </font>
    <font>
      <b/>
      <sz val="18"/>
      <color theme="1"/>
      <name val="Aptos Narrow"/>
      <family val="2"/>
      <scheme val="minor"/>
    </font>
    <font>
      <sz val="12"/>
      <color theme="1"/>
      <name val="Times New Roman"/>
      <family val="1"/>
    </font>
    <font>
      <sz val="12"/>
      <color theme="1"/>
      <name val="Times New Roman"/>
      <family val="1"/>
    </font>
    <font>
      <sz val="14"/>
      <color theme="1"/>
      <name val="Aptos Narrow"/>
      <family val="2"/>
      <scheme val="minor"/>
    </font>
    <font>
      <b/>
      <sz val="20"/>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5"/>
        <bgColor indexed="64"/>
      </patternFill>
    </fill>
    <fill>
      <patternFill patternType="solid">
        <fgColor theme="3" tint="0.74999237037263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indexed="64"/>
      </right>
      <top/>
      <bottom/>
      <diagonal/>
    </border>
    <border>
      <left/>
      <right/>
      <top/>
      <bottom style="medium">
        <color indexed="64"/>
      </bottom>
      <diagonal/>
    </border>
    <border>
      <left style="medium">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 fillId="0" borderId="0"/>
    <xf numFmtId="0" fontId="7" fillId="0" borderId="0"/>
  </cellStyleXfs>
  <cellXfs count="136">
    <xf numFmtId="0" fontId="0" fillId="0" borderId="0" xfId="0"/>
    <xf numFmtId="2" fontId="0" fillId="0" borderId="0" xfId="0" applyNumberFormat="1" applyAlignment="1">
      <alignment horizontal="center" vertical="top" wrapText="1"/>
    </xf>
    <xf numFmtId="2" fontId="0" fillId="0" borderId="0" xfId="1" applyNumberFormat="1" applyFont="1" applyAlignment="1">
      <alignment horizontal="center" vertical="top" wrapText="1"/>
    </xf>
    <xf numFmtId="0" fontId="2" fillId="0" borderId="0" xfId="0" applyFont="1" applyAlignment="1">
      <alignment horizontal="center" vertical="top"/>
    </xf>
    <xf numFmtId="2" fontId="0" fillId="0" borderId="0" xfId="0" applyNumberFormat="1" applyAlignment="1">
      <alignment horizontal="center" vertical="top"/>
    </xf>
    <xf numFmtId="2" fontId="3" fillId="0" borderId="0" xfId="0" applyNumberFormat="1" applyFont="1" applyAlignment="1">
      <alignment horizontal="center" vertical="top" wrapText="1"/>
    </xf>
    <xf numFmtId="2" fontId="0" fillId="0" borderId="1" xfId="0" applyNumberFormat="1" applyBorder="1" applyAlignment="1">
      <alignment horizontal="center" vertical="top" wrapText="1"/>
    </xf>
    <xf numFmtId="2" fontId="0" fillId="0" borderId="1" xfId="1"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0" xfId="0" applyAlignment="1">
      <alignment wrapText="1"/>
    </xf>
    <xf numFmtId="0" fontId="4" fillId="0" borderId="2" xfId="0" applyFont="1" applyBorder="1" applyAlignment="1">
      <alignment wrapText="1"/>
    </xf>
    <xf numFmtId="0" fontId="4" fillId="0" borderId="3" xfId="0" applyFont="1" applyBorder="1" applyAlignment="1">
      <alignment wrapText="1"/>
    </xf>
    <xf numFmtId="0" fontId="4" fillId="0" borderId="0" xfId="0" applyFont="1" applyAlignment="1">
      <alignment wrapText="1"/>
    </xf>
    <xf numFmtId="0" fontId="0" fillId="0" borderId="0" xfId="0"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2" fontId="0" fillId="2" borderId="0" xfId="0" applyNumberFormat="1" applyFill="1" applyAlignment="1">
      <alignment horizontal="center" vertical="top" wrapText="1"/>
    </xf>
    <xf numFmtId="2" fontId="0" fillId="2" borderId="0" xfId="0" applyNumberFormat="1" applyFill="1" applyAlignment="1">
      <alignment horizontal="center" vertical="top"/>
    </xf>
    <xf numFmtId="0" fontId="0" fillId="2" borderId="0" xfId="0" applyFill="1"/>
    <xf numFmtId="0" fontId="0" fillId="2" borderId="1" xfId="0" applyFill="1" applyBorder="1" applyAlignment="1">
      <alignment horizontal="center" vertical="top" wrapText="1"/>
    </xf>
    <xf numFmtId="0" fontId="4" fillId="2" borderId="1" xfId="0" applyFont="1" applyFill="1" applyBorder="1" applyAlignment="1">
      <alignment horizontal="center" vertical="top" wrapText="1"/>
    </xf>
    <xf numFmtId="0" fontId="0" fillId="2" borderId="1" xfId="0" applyFill="1" applyBorder="1" applyAlignment="1">
      <alignment horizontal="center" vertical="top"/>
    </xf>
    <xf numFmtId="2" fontId="0" fillId="2" borderId="1" xfId="0" applyNumberFormat="1" applyFill="1" applyBorder="1" applyAlignment="1">
      <alignment horizontal="center" vertical="top" wrapText="1"/>
    </xf>
    <xf numFmtId="2" fontId="1" fillId="2" borderId="1" xfId="1" applyNumberFormat="1" applyFill="1" applyBorder="1" applyAlignment="1">
      <alignment horizontal="center" vertical="top" wrapText="1"/>
    </xf>
    <xf numFmtId="0" fontId="8" fillId="2" borderId="1" xfId="0" applyFont="1" applyFill="1" applyBorder="1" applyAlignment="1">
      <alignment horizontal="center" vertical="top" wrapText="1"/>
    </xf>
    <xf numFmtId="0" fontId="5" fillId="0" borderId="1" xfId="0" applyFont="1" applyBorder="1" applyAlignment="1">
      <alignment horizontal="center" vertical="top" wrapText="1"/>
    </xf>
    <xf numFmtId="0" fontId="4" fillId="0" borderId="1" xfId="0" applyFont="1" applyBorder="1" applyAlignment="1">
      <alignment horizontal="center" vertical="top" wrapText="1"/>
    </xf>
    <xf numFmtId="0" fontId="0" fillId="2" borderId="1" xfId="0" applyFill="1" applyBorder="1"/>
    <xf numFmtId="0" fontId="0" fillId="2" borderId="1" xfId="0" applyFill="1" applyBorder="1" applyAlignment="1">
      <alignment vertical="top"/>
    </xf>
    <xf numFmtId="0" fontId="9" fillId="2" borderId="1" xfId="0" applyFont="1" applyFill="1" applyBorder="1" applyAlignment="1">
      <alignment horizontal="center" vertical="top" wrapText="1"/>
    </xf>
    <xf numFmtId="2" fontId="7" fillId="0" borderId="1" xfId="1" applyNumberFormat="1" applyFont="1" applyBorder="1" applyAlignment="1">
      <alignment horizontal="center" vertical="top" wrapText="1"/>
    </xf>
    <xf numFmtId="2" fontId="3"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2" fontId="0" fillId="2" borderId="1" xfId="1" applyNumberFormat="1" applyFont="1" applyFill="1" applyBorder="1" applyAlignment="1">
      <alignment horizontal="center" vertical="top" wrapText="1"/>
    </xf>
    <xf numFmtId="2" fontId="0" fillId="0" borderId="1" xfId="0" applyNumberFormat="1" applyBorder="1" applyAlignment="1">
      <alignment horizontal="center" vertical="top"/>
    </xf>
    <xf numFmtId="0" fontId="4" fillId="0" borderId="10" xfId="0" applyFont="1" applyBorder="1" applyAlignment="1">
      <alignment wrapText="1"/>
    </xf>
    <xf numFmtId="2" fontId="3" fillId="0" borderId="1" xfId="0" applyNumberFormat="1" applyFont="1" applyBorder="1" applyAlignment="1">
      <alignment horizontal="center" vertical="top"/>
    </xf>
    <xf numFmtId="0" fontId="4" fillId="0" borderId="1" xfId="0" applyFont="1" applyBorder="1" applyAlignment="1">
      <alignment horizontal="center" vertical="top"/>
    </xf>
    <xf numFmtId="2" fontId="7" fillId="2" borderId="1" xfId="2" applyNumberFormat="1" applyFill="1" applyBorder="1" applyAlignment="1">
      <alignment horizontal="center" vertical="top" wrapText="1"/>
    </xf>
    <xf numFmtId="2" fontId="0" fillId="2" borderId="1" xfId="0" applyNumberFormat="1" applyFill="1" applyBorder="1" applyAlignment="1">
      <alignment horizontal="center" vertical="top"/>
    </xf>
    <xf numFmtId="2" fontId="3" fillId="2" borderId="1" xfId="0" applyNumberFormat="1" applyFont="1" applyFill="1" applyBorder="1" applyAlignment="1">
      <alignment horizontal="center" vertical="top" wrapText="1"/>
    </xf>
    <xf numFmtId="2" fontId="0" fillId="2" borderId="1" xfId="0" applyNumberFormat="1" applyFill="1" applyBorder="1"/>
    <xf numFmtId="2" fontId="0" fillId="2" borderId="1" xfId="1" applyNumberFormat="1" applyFont="1" applyFill="1" applyBorder="1"/>
    <xf numFmtId="0" fontId="5" fillId="2" borderId="1" xfId="0" applyFont="1" applyFill="1" applyBorder="1"/>
    <xf numFmtId="2" fontId="2" fillId="2" borderId="1" xfId="0" applyNumberFormat="1" applyFont="1" applyFill="1" applyBorder="1" applyAlignment="1">
      <alignment horizontal="center" vertical="top" wrapText="1"/>
    </xf>
    <xf numFmtId="0" fontId="10" fillId="2" borderId="1" xfId="0" applyFont="1" applyFill="1" applyBorder="1" applyAlignment="1">
      <alignment horizontal="center" vertical="top" wrapText="1"/>
    </xf>
    <xf numFmtId="2" fontId="10" fillId="2" borderId="1" xfId="0" applyNumberFormat="1" applyFont="1" applyFill="1" applyBorder="1" applyAlignment="1">
      <alignment horizontal="center" vertical="top" wrapText="1"/>
      <extLst>
        <ext xmlns:xfpb="http://schemas.microsoft.com/office/spreadsheetml/2022/featurepropertybag" uri="{C7286773-470A-42A8-94C5-96B5CB345126}">
          <xfpb:xfComplement i="0"/>
        </ext>
      </extLst>
    </xf>
    <xf numFmtId="0" fontId="10" fillId="2" borderId="1" xfId="0" applyFont="1" applyFill="1" applyBorder="1" applyAlignment="1">
      <alignment horizontal="center" vertical="top" wrapText="1"/>
      <extLst>
        <ext xmlns:xfpb="http://schemas.microsoft.com/office/spreadsheetml/2022/featurepropertybag" uri="{C7286773-470A-42A8-94C5-96B5CB345126}">
          <xfpb:xfComplement i="0"/>
        </ext>
      </extLst>
    </xf>
    <xf numFmtId="2" fontId="10" fillId="2" borderId="1" xfId="0" applyNumberFormat="1" applyFont="1" applyFill="1" applyBorder="1" applyAlignment="1">
      <alignment horizontal="center" vertical="top" wrapText="1"/>
    </xf>
    <xf numFmtId="2" fontId="10" fillId="2" borderId="1" xfId="1" applyNumberFormat="1" applyFont="1" applyFill="1" applyBorder="1" applyAlignment="1">
      <alignment horizontal="center" vertical="top" wrapText="1"/>
      <extLst>
        <ext xmlns:xfpb="http://schemas.microsoft.com/office/spreadsheetml/2022/featurepropertybag" uri="{C7286773-470A-42A8-94C5-96B5CB345126}">
          <xfpb:xfComplement i="0"/>
        </ext>
      </extLst>
    </xf>
    <xf numFmtId="0" fontId="10" fillId="0" borderId="0" xfId="0" applyFont="1"/>
    <xf numFmtId="0" fontId="11" fillId="2" borderId="1" xfId="0" applyFont="1" applyFill="1" applyBorder="1" applyAlignment="1">
      <alignment horizontal="center" vertical="top" wrapText="1"/>
    </xf>
    <xf numFmtId="0" fontId="12" fillId="2" borderId="1" xfId="1" applyFont="1" applyFill="1" applyBorder="1" applyAlignment="1">
      <alignment horizontal="center" vertical="top" wrapText="1"/>
      <extLst>
        <ext xmlns:xfpb="http://schemas.microsoft.com/office/spreadsheetml/2022/featurepropertybag" uri="{C7286773-470A-42A8-94C5-96B5CB345126}">
          <xfpb:xfComplement i="0"/>
        </ext>
      </extLst>
    </xf>
    <xf numFmtId="1" fontId="0" fillId="2" borderId="1" xfId="0" applyNumberFormat="1" applyFill="1" applyBorder="1" applyAlignment="1">
      <alignment horizontal="center" vertical="top" wrapText="1"/>
    </xf>
    <xf numFmtId="1" fontId="9" fillId="2" borderId="1" xfId="0" applyNumberFormat="1" applyFont="1" applyFill="1" applyBorder="1" applyAlignment="1">
      <alignment horizontal="center" vertical="top" wrapText="1"/>
    </xf>
    <xf numFmtId="1" fontId="7" fillId="2" borderId="1" xfId="1" applyNumberFormat="1" applyFont="1" applyFill="1" applyBorder="1" applyAlignment="1">
      <alignment horizontal="center" vertical="top" wrapText="1"/>
    </xf>
    <xf numFmtId="9" fontId="0" fillId="2" borderId="0" xfId="0" applyNumberFormat="1" applyFill="1" applyAlignment="1">
      <alignment horizontal="center" vertical="top" wrapText="1"/>
    </xf>
    <xf numFmtId="0" fontId="2" fillId="2" borderId="0" xfId="0" applyFont="1" applyFill="1" applyAlignment="1">
      <alignment horizontal="center" vertical="top"/>
    </xf>
    <xf numFmtId="9" fontId="0" fillId="2" borderId="1" xfId="0" applyNumberFormat="1" applyFill="1" applyBorder="1" applyAlignment="1">
      <alignment horizontal="center" vertical="top" wrapText="1"/>
    </xf>
    <xf numFmtId="0" fontId="2" fillId="2" borderId="1" xfId="0" applyFont="1" applyFill="1" applyBorder="1" applyAlignment="1">
      <alignment horizontal="center" vertical="top"/>
    </xf>
    <xf numFmtId="2" fontId="2" fillId="2" borderId="1" xfId="1" applyNumberFormat="1" applyFont="1" applyFill="1" applyBorder="1" applyAlignment="1">
      <alignment horizontal="center" vertical="top" wrapText="1"/>
    </xf>
    <xf numFmtId="2" fontId="7" fillId="2" borderId="1" xfId="1" applyNumberFormat="1" applyFont="1" applyFill="1" applyBorder="1" applyAlignment="1">
      <alignment horizontal="center" vertical="top" wrapText="1"/>
    </xf>
    <xf numFmtId="0" fontId="8"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8" fillId="2" borderId="1" xfId="0" applyFont="1" applyFill="1" applyBorder="1" applyAlignment="1">
      <alignment horizontal="left" wrapText="1"/>
    </xf>
    <xf numFmtId="0" fontId="0" fillId="2" borderId="1" xfId="0" applyFill="1" applyBorder="1" applyAlignment="1">
      <alignment horizontal="left"/>
    </xf>
    <xf numFmtId="2" fontId="0" fillId="2" borderId="1" xfId="1" applyNumberFormat="1" applyFont="1" applyFill="1" applyBorder="1" applyAlignment="1">
      <alignment horizontal="left" wrapText="1"/>
    </xf>
    <xf numFmtId="2" fontId="0" fillId="2" borderId="1" xfId="0" applyNumberFormat="1" applyFill="1" applyBorder="1" applyAlignment="1">
      <alignment horizontal="left"/>
    </xf>
    <xf numFmtId="2" fontId="3" fillId="2" borderId="1" xfId="0" applyNumberFormat="1" applyFont="1" applyFill="1" applyBorder="1" applyAlignment="1">
      <alignment horizontal="left" wrapText="1"/>
    </xf>
    <xf numFmtId="2" fontId="0" fillId="2" borderId="1" xfId="0" applyNumberFormat="1" applyFill="1" applyBorder="1" applyAlignment="1">
      <alignment horizontal="left" wrapText="1"/>
    </xf>
    <xf numFmtId="0" fontId="0" fillId="2" borderId="1" xfId="0" applyFill="1" applyBorder="1" applyAlignment="1">
      <alignment vertical="center"/>
    </xf>
    <xf numFmtId="2" fontId="0" fillId="2" borderId="1" xfId="0" applyNumberFormat="1" applyFill="1" applyBorder="1" applyAlignment="1">
      <alignment horizontal="center" vertical="center"/>
    </xf>
    <xf numFmtId="2" fontId="0" fillId="2" borderId="1" xfId="1" applyNumberFormat="1" applyFont="1" applyFill="1" applyBorder="1" applyAlignment="1">
      <alignment horizontal="center" vertical="center"/>
    </xf>
    <xf numFmtId="0" fontId="2" fillId="0" borderId="1" xfId="0" applyFont="1" applyBorder="1" applyAlignment="1">
      <alignment horizontal="left"/>
    </xf>
    <xf numFmtId="0" fontId="0" fillId="0" borderId="1" xfId="0" applyBorder="1"/>
    <xf numFmtId="2" fontId="0" fillId="3" borderId="1" xfId="0" applyNumberFormat="1" applyFill="1" applyBorder="1" applyAlignment="1">
      <alignment horizontal="center" vertical="top" wrapText="1"/>
    </xf>
    <xf numFmtId="164" fontId="0" fillId="3" borderId="1" xfId="0" applyNumberFormat="1" applyFill="1" applyBorder="1" applyAlignment="1">
      <alignment horizontal="center" vertical="top" wrapText="1"/>
    </xf>
    <xf numFmtId="166" fontId="0" fillId="2" borderId="1" xfId="0" applyNumberFormat="1" applyFill="1" applyBorder="1" applyAlignment="1">
      <alignment horizontal="center" vertical="top" wrapText="1"/>
    </xf>
    <xf numFmtId="165" fontId="7" fillId="2" borderId="1" xfId="2" applyNumberFormat="1" applyFill="1" applyBorder="1" applyAlignment="1">
      <alignment horizontal="center" vertical="top" wrapText="1"/>
    </xf>
    <xf numFmtId="164" fontId="7" fillId="2" borderId="1" xfId="2" applyNumberFormat="1" applyFill="1" applyBorder="1" applyAlignment="1">
      <alignment horizontal="center" vertical="top" wrapText="1"/>
    </xf>
    <xf numFmtId="164" fontId="0" fillId="2" borderId="1" xfId="0" applyNumberFormat="1" applyFill="1" applyBorder="1" applyAlignment="1">
      <alignment horizontal="center" vertical="top" wrapText="1"/>
    </xf>
    <xf numFmtId="17" fontId="0" fillId="2" borderId="1" xfId="0" applyNumberFormat="1" applyFill="1" applyBorder="1"/>
    <xf numFmtId="164" fontId="0" fillId="2" borderId="1" xfId="0" applyNumberFormat="1" applyFill="1" applyBorder="1" applyAlignment="1">
      <alignment horizontal="center" vertical="top"/>
    </xf>
    <xf numFmtId="0" fontId="2" fillId="2" borderId="9" xfId="0" applyFont="1" applyFill="1" applyBorder="1" applyAlignment="1">
      <alignment horizontal="center" vertical="top"/>
    </xf>
    <xf numFmtId="0" fontId="14" fillId="0" borderId="13" xfId="0" applyFont="1" applyBorder="1" applyAlignment="1">
      <alignment horizontal="left" vertical="top" wrapText="1"/>
    </xf>
    <xf numFmtId="0" fontId="14" fillId="0" borderId="14" xfId="0" applyFont="1" applyBorder="1" applyAlignment="1">
      <alignment horizontal="left" vertical="top"/>
    </xf>
    <xf numFmtId="0" fontId="14" fillId="0" borderId="15" xfId="0" applyFont="1" applyBorder="1" applyAlignment="1">
      <alignment horizontal="left" vertical="top"/>
    </xf>
    <xf numFmtId="0" fontId="14" fillId="0" borderId="6" xfId="0" applyFont="1" applyBorder="1" applyAlignment="1">
      <alignment horizontal="left" vertical="top"/>
    </xf>
    <xf numFmtId="0" fontId="14" fillId="0" borderId="0" xfId="0" applyFont="1" applyAlignment="1">
      <alignment horizontal="left" vertical="top"/>
    </xf>
    <xf numFmtId="0" fontId="14" fillId="0" borderId="4" xfId="0" applyFont="1" applyBorder="1" applyAlignment="1">
      <alignment horizontal="left" vertical="top"/>
    </xf>
    <xf numFmtId="0" fontId="14" fillId="0" borderId="16" xfId="0" applyFont="1" applyBorder="1" applyAlignment="1">
      <alignment horizontal="left" vertical="top"/>
    </xf>
    <xf numFmtId="0" fontId="14" fillId="0" borderId="5" xfId="0" applyFont="1" applyBorder="1" applyAlignment="1">
      <alignment horizontal="left" vertical="top"/>
    </xf>
    <xf numFmtId="0" fontId="14" fillId="0" borderId="11" xfId="0" applyFont="1" applyBorder="1" applyAlignment="1">
      <alignment horizontal="left" vertical="top"/>
    </xf>
    <xf numFmtId="0" fontId="13" fillId="0" borderId="1" xfId="0" applyFont="1" applyBorder="1" applyAlignment="1">
      <alignment horizontal="center"/>
    </xf>
    <xf numFmtId="1" fontId="2" fillId="0" borderId="1" xfId="0" applyNumberFormat="1" applyFont="1" applyBorder="1" applyAlignment="1">
      <alignment horizontal="center"/>
    </xf>
    <xf numFmtId="0" fontId="2" fillId="4" borderId="1" xfId="0" applyFont="1" applyFill="1"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top" wrapText="1"/>
    </xf>
    <xf numFmtId="0" fontId="15" fillId="0" borderId="1" xfId="0" applyFont="1" applyBorder="1" applyAlignment="1">
      <alignment horizontal="center" vertical="center"/>
    </xf>
    <xf numFmtId="2" fontId="0" fillId="0" borderId="1" xfId="0" applyNumberFormat="1" applyBorder="1" applyAlignment="1">
      <alignment horizontal="center" vertical="top"/>
    </xf>
    <xf numFmtId="0" fontId="15" fillId="0" borderId="1" xfId="0" applyFont="1" applyBorder="1" applyAlignment="1">
      <alignment horizontal="center"/>
    </xf>
    <xf numFmtId="0" fontId="18" fillId="0" borderId="0" xfId="0" applyFont="1" applyAlignment="1">
      <alignment horizontal="center" vertical="top"/>
    </xf>
    <xf numFmtId="0" fontId="18" fillId="0" borderId="7" xfId="0" applyFont="1" applyBorder="1" applyAlignment="1">
      <alignment horizontal="center" vertical="top"/>
    </xf>
    <xf numFmtId="2" fontId="0" fillId="0" borderId="1" xfId="0" applyNumberFormat="1" applyBorder="1" applyAlignment="1">
      <alignment horizontal="center" vertical="top" wrapText="1"/>
    </xf>
    <xf numFmtId="0" fontId="2" fillId="2" borderId="8"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8" xfId="0" applyFont="1" applyFill="1" applyBorder="1" applyAlignment="1">
      <alignment horizontal="center" vertical="top"/>
    </xf>
    <xf numFmtId="0" fontId="2" fillId="2" borderId="9" xfId="0" applyFont="1" applyFill="1" applyBorder="1" applyAlignment="1">
      <alignment horizontal="center" vertical="top"/>
    </xf>
    <xf numFmtId="0" fontId="2" fillId="2" borderId="1" xfId="0" applyFont="1" applyFill="1" applyBorder="1" applyAlignment="1">
      <alignment horizontal="center" vertical="top" wrapText="1"/>
    </xf>
    <xf numFmtId="2" fontId="2" fillId="2" borderId="1" xfId="0" applyNumberFormat="1" applyFont="1" applyFill="1" applyBorder="1" applyAlignment="1">
      <alignment horizontal="center" vertical="top" wrapText="1"/>
    </xf>
    <xf numFmtId="0" fontId="18" fillId="0" borderId="0" xfId="0" applyFont="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17" fillId="0" borderId="1" xfId="0" applyFont="1" applyBorder="1" applyAlignment="1">
      <alignment horizontal="center"/>
    </xf>
    <xf numFmtId="0" fontId="18" fillId="5" borderId="1" xfId="0" applyFont="1" applyFill="1" applyBorder="1" applyAlignment="1">
      <alignment horizontal="center"/>
    </xf>
    <xf numFmtId="0" fontId="0" fillId="0" borderId="1" xfId="0" applyBorder="1" applyAlignment="1">
      <alignment horizontal="left" vertical="top" wrapText="1"/>
    </xf>
    <xf numFmtId="0" fontId="19" fillId="0" borderId="1" xfId="0" applyFont="1" applyBorder="1" applyAlignment="1">
      <alignment horizontal="left" vertical="top" wrapText="1"/>
    </xf>
    <xf numFmtId="0" fontId="20" fillId="0" borderId="1" xfId="0" applyFont="1" applyBorder="1" applyAlignment="1">
      <alignment horizontal="left" vertical="top" wrapText="1"/>
    </xf>
    <xf numFmtId="0" fontId="0" fillId="0" borderId="1" xfId="0" applyBorder="1" applyAlignment="1">
      <alignment horizontal="left" vertical="top" wrapText="1"/>
    </xf>
    <xf numFmtId="0" fontId="20" fillId="0" borderId="1" xfId="0" applyFont="1" applyBorder="1" applyAlignment="1">
      <alignment horizontal="left" vertical="top" wrapText="1"/>
    </xf>
    <xf numFmtId="0" fontId="0" fillId="0" borderId="0" xfId="0" applyAlignment="1">
      <alignment horizontal="left" vertical="top"/>
    </xf>
    <xf numFmtId="0" fontId="22" fillId="0" borderId="17" xfId="0" applyFont="1" applyBorder="1" applyAlignment="1">
      <alignment horizontal="center" vertical="top"/>
    </xf>
    <xf numFmtId="0" fontId="0" fillId="0" borderId="18" xfId="0" applyBorder="1" applyAlignment="1">
      <alignment horizontal="center" vertical="top"/>
    </xf>
    <xf numFmtId="0" fontId="18" fillId="0" borderId="19" xfId="0" applyFont="1" applyBorder="1" applyAlignment="1">
      <alignment horizontal="left" vertical="top"/>
    </xf>
    <xf numFmtId="0" fontId="18" fillId="0" borderId="20" xfId="0" applyFont="1" applyBorder="1" applyAlignment="1">
      <alignment horizontal="center" vertical="top" wrapText="1"/>
    </xf>
    <xf numFmtId="0" fontId="21" fillId="0" borderId="19" xfId="0" applyFont="1" applyBorder="1" applyAlignment="1">
      <alignment horizontal="left" vertical="top" wrapText="1"/>
    </xf>
    <xf numFmtId="0" fontId="21" fillId="0" borderId="20" xfId="0" applyFont="1" applyBorder="1" applyAlignment="1">
      <alignment horizontal="left" vertical="top" wrapText="1"/>
    </xf>
    <xf numFmtId="0" fontId="21" fillId="0" borderId="21" xfId="0" applyFont="1" applyBorder="1" applyAlignment="1">
      <alignment horizontal="left" vertical="top" wrapText="1"/>
    </xf>
    <xf numFmtId="0" fontId="21" fillId="0" borderId="22" xfId="0" applyFont="1" applyBorder="1" applyAlignment="1">
      <alignment horizontal="left" vertical="top" wrapText="1"/>
    </xf>
    <xf numFmtId="0" fontId="0" fillId="2" borderId="1" xfId="0" applyFill="1" applyBorder="1" applyAlignment="1">
      <alignment horizontal="center" vertical="top"/>
    </xf>
    <xf numFmtId="0" fontId="17" fillId="2" borderId="8" xfId="0" applyFont="1" applyFill="1" applyBorder="1" applyAlignment="1">
      <alignment horizontal="center"/>
    </xf>
    <xf numFmtId="0" fontId="17" fillId="2" borderId="9" xfId="0" applyFont="1" applyFill="1" applyBorder="1" applyAlignment="1">
      <alignment horizontal="center"/>
    </xf>
  </cellXfs>
  <cellStyles count="3">
    <cellStyle name="Normal" xfId="0" builtinId="0"/>
    <cellStyle name="Normal 2" xfId="1" xr:uid="{7874FFDC-DA4D-4CDD-AF5B-AAACBF7AE624}"/>
    <cellStyle name="Normal 2 2" xfId="2" xr:uid="{4FD8CD54-AC43-4C7F-905E-2E35ABC459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86311840278056"/>
          <c:y val="4.6454965418204607E-3"/>
          <c:w val="0.88111086561063756"/>
          <c:h val="0.923793176942091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'1-Regional and year wise '!$D$4:$D$30</c:f>
              <c:strCache>
                <c:ptCount val="27"/>
                <c:pt idx="0">
                  <c:v> Algeria</c:v>
                </c:pt>
                <c:pt idx="1">
                  <c:v> Brazil</c:v>
                </c:pt>
                <c:pt idx="2">
                  <c:v>Austria</c:v>
                </c:pt>
                <c:pt idx="3">
                  <c:v>Lithuania</c:v>
                </c:pt>
                <c:pt idx="4">
                  <c:v>Switzerland</c:v>
                </c:pt>
                <c:pt idx="5">
                  <c:v>Croatia</c:v>
                </c:pt>
                <c:pt idx="6">
                  <c:v>Pakistan</c:v>
                </c:pt>
                <c:pt idx="7">
                  <c:v>Vietnam</c:v>
                </c:pt>
                <c:pt idx="8">
                  <c:v> UK</c:v>
                </c:pt>
                <c:pt idx="9">
                  <c:v>Italy</c:v>
                </c:pt>
                <c:pt idx="10">
                  <c:v>Australia</c:v>
                </c:pt>
                <c:pt idx="11">
                  <c:v>Hong Kong</c:v>
                </c:pt>
                <c:pt idx="12">
                  <c:v>Cyprus</c:v>
                </c:pt>
                <c:pt idx="13">
                  <c:v>Germany</c:v>
                </c:pt>
                <c:pt idx="14">
                  <c:v> Singapore</c:v>
                </c:pt>
                <c:pt idx="15">
                  <c:v>France</c:v>
                </c:pt>
                <c:pt idx="16">
                  <c:v>Iran </c:v>
                </c:pt>
                <c:pt idx="17">
                  <c:v>Netherlands</c:v>
                </c:pt>
                <c:pt idx="18">
                  <c:v>Saudi Arabia</c:v>
                </c:pt>
                <c:pt idx="19">
                  <c:v>Canada </c:v>
                </c:pt>
                <c:pt idx="20">
                  <c:v>Malaysia</c:v>
                </c:pt>
                <c:pt idx="21">
                  <c:v>India </c:v>
                </c:pt>
                <c:pt idx="22">
                  <c:v>Portugal</c:v>
                </c:pt>
                <c:pt idx="23">
                  <c:v>Korea </c:v>
                </c:pt>
                <c:pt idx="24">
                  <c:v>Turkey</c:v>
                </c:pt>
                <c:pt idx="25">
                  <c:v>USA </c:v>
                </c:pt>
                <c:pt idx="26">
                  <c:v>China</c:v>
                </c:pt>
              </c:strCache>
            </c:strRef>
          </c:cat>
          <c:val>
            <c:numRef>
              <c:f>'1-Regional and year wise '!$E$4:$E$30</c:f>
              <c:numCache>
                <c:formatCode>General</c:formatCode>
                <c:ptCount val="27"/>
                <c:pt idx="0">
                  <c:v>1</c:v>
                </c:pt>
                <c:pt idx="1">
                  <c:v>1</c:v>
                </c:pt>
                <c:pt idx="2">
                  <c:v>1</c:v>
                </c:pt>
                <c:pt idx="3">
                  <c:v>1</c:v>
                </c:pt>
                <c:pt idx="4">
                  <c:v>1</c:v>
                </c:pt>
                <c:pt idx="5">
                  <c:v>1</c:v>
                </c:pt>
                <c:pt idx="6">
                  <c:v>1</c:v>
                </c:pt>
                <c:pt idx="7">
                  <c:v>2</c:v>
                </c:pt>
                <c:pt idx="8">
                  <c:v>2</c:v>
                </c:pt>
                <c:pt idx="9">
                  <c:v>2</c:v>
                </c:pt>
                <c:pt idx="10">
                  <c:v>3</c:v>
                </c:pt>
                <c:pt idx="11">
                  <c:v>1</c:v>
                </c:pt>
                <c:pt idx="12">
                  <c:v>2</c:v>
                </c:pt>
                <c:pt idx="13">
                  <c:v>2</c:v>
                </c:pt>
                <c:pt idx="14">
                  <c:v>5</c:v>
                </c:pt>
                <c:pt idx="15">
                  <c:v>2</c:v>
                </c:pt>
                <c:pt idx="16">
                  <c:v>3</c:v>
                </c:pt>
                <c:pt idx="17">
                  <c:v>5</c:v>
                </c:pt>
                <c:pt idx="18">
                  <c:v>5</c:v>
                </c:pt>
                <c:pt idx="19">
                  <c:v>5</c:v>
                </c:pt>
                <c:pt idx="20">
                  <c:v>5</c:v>
                </c:pt>
                <c:pt idx="21">
                  <c:v>4</c:v>
                </c:pt>
                <c:pt idx="22">
                  <c:v>4</c:v>
                </c:pt>
                <c:pt idx="23">
                  <c:v>11</c:v>
                </c:pt>
                <c:pt idx="24">
                  <c:v>7</c:v>
                </c:pt>
                <c:pt idx="25">
                  <c:v>19</c:v>
                </c:pt>
                <c:pt idx="26">
                  <c:v>72</c:v>
                </c:pt>
              </c:numCache>
            </c:numRef>
          </c:val>
          <c:extLst>
            <c:ext xmlns:c16="http://schemas.microsoft.com/office/drawing/2014/chart" uri="{C3380CC4-5D6E-409C-BE32-E72D297353CC}">
              <c16:uniqueId val="{00000000-4370-49DF-A6A9-2EEC24B49D13}"/>
            </c:ext>
          </c:extLst>
        </c:ser>
        <c:dLbls>
          <c:dLblPos val="outEnd"/>
          <c:showLegendKey val="0"/>
          <c:showVal val="1"/>
          <c:showCatName val="0"/>
          <c:showSerName val="0"/>
          <c:showPercent val="0"/>
          <c:showBubbleSize val="0"/>
        </c:dLbls>
        <c:gapWidth val="182"/>
        <c:axId val="830877808"/>
        <c:axId val="830876368"/>
      </c:barChart>
      <c:catAx>
        <c:axId val="83087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crossAx val="830876368"/>
        <c:crosses val="autoZero"/>
        <c:auto val="1"/>
        <c:lblAlgn val="ctr"/>
        <c:lblOffset val="100"/>
        <c:noMultiLvlLbl val="0"/>
      </c:catAx>
      <c:valAx>
        <c:axId val="830876368"/>
        <c:scaling>
          <c:orientation val="minMax"/>
          <c:max val="8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b="1"/>
                  <a:t>Number of Publiations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77808"/>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35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302372872806077E-2"/>
          <c:y val="0.14818919069121608"/>
          <c:w val="0.86338180400840714"/>
          <c:h val="0.83071775828311434"/>
        </c:manualLayout>
      </c:layout>
      <c:pie3DChart>
        <c:varyColors val="1"/>
        <c:ser>
          <c:idx val="0"/>
          <c:order val="0"/>
          <c:tx>
            <c:strRef>
              <c:f>'2-Cement and Composition'!$H$4:$H$10</c:f>
              <c:strCache>
                <c:ptCount val="7"/>
              </c:strCache>
            </c:strRef>
          </c:tx>
          <c:explosion val="16"/>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CFF-4F6E-B9C5-548F112466D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CFF-4F6E-B9C5-548F112466D4}"/>
              </c:ext>
            </c:extLst>
          </c:dPt>
          <c:dPt>
            <c:idx val="2"/>
            <c:bubble3D val="0"/>
            <c:explosion val="1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CFF-4F6E-B9C5-548F112466D4}"/>
              </c:ext>
            </c:extLst>
          </c:dPt>
          <c:dPt>
            <c:idx val="3"/>
            <c:bubble3D val="0"/>
            <c:explosion val="17"/>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CFF-4F6E-B9C5-548F112466D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8CFF-4F6E-B9C5-548F112466D4}"/>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CFF-4F6E-B9C5-548F112466D4}"/>
              </c:ext>
            </c:extLst>
          </c:dPt>
          <c:dLbls>
            <c:dLbl>
              <c:idx val="0"/>
              <c:layout>
                <c:manualLayout>
                  <c:x val="-4.5045068714419781E-2"/>
                  <c:y val="-0.39723554889524448"/>
                </c:manualLayout>
              </c:layout>
              <c:spPr>
                <a:solidFill>
                  <a:sysClr val="window" lastClr="FFFFFF"/>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33580"/>
                        <a:gd name="adj2" fmla="val 128105"/>
                      </a:avLst>
                    </a:prstGeom>
                    <a:noFill/>
                    <a:ln>
                      <a:noFill/>
                    </a:ln>
                  </c15:spPr>
                </c:ext>
                <c:ext xmlns:c16="http://schemas.microsoft.com/office/drawing/2014/chart" uri="{C3380CC4-5D6E-409C-BE32-E72D297353CC}">
                  <c16:uniqueId val="{00000001-8CFF-4F6E-B9C5-548F112466D4}"/>
                </c:ext>
              </c:extLst>
            </c:dLbl>
            <c:dLbl>
              <c:idx val="1"/>
              <c:layout>
                <c:manualLayout>
                  <c:x val="0.1217885191167646"/>
                  <c:y val="3.1920713750510719E-2"/>
                </c:manualLayout>
              </c:layout>
              <c:spPr>
                <a:solidFill>
                  <a:sysClr val="window" lastClr="FFFFFF"/>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37003"/>
                        <a:gd name="adj2" fmla="val -244904"/>
                      </a:avLst>
                    </a:prstGeom>
                    <a:noFill/>
                    <a:ln>
                      <a:noFill/>
                    </a:ln>
                  </c15:spPr>
                </c:ext>
                <c:ext xmlns:c16="http://schemas.microsoft.com/office/drawing/2014/chart" uri="{C3380CC4-5D6E-409C-BE32-E72D297353CC}">
                  <c16:uniqueId val="{00000003-8CFF-4F6E-B9C5-548F112466D4}"/>
                </c:ext>
              </c:extLst>
            </c:dLbl>
            <c:dLbl>
              <c:idx val="2"/>
              <c:layout>
                <c:manualLayout>
                  <c:x val="-1.6683358783118744E-3"/>
                  <c:y val="-1.0640237916836905E-2"/>
                </c:manualLayout>
              </c:layout>
              <c:spPr>
                <a:solidFill>
                  <a:sysClr val="window" lastClr="FFFFFF"/>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7874"/>
                        <a:gd name="adj2" fmla="val -179198"/>
                      </a:avLst>
                    </a:prstGeom>
                    <a:noFill/>
                    <a:ln>
                      <a:noFill/>
                    </a:ln>
                  </c15:spPr>
                </c:ext>
                <c:ext xmlns:c16="http://schemas.microsoft.com/office/drawing/2014/chart" uri="{C3380CC4-5D6E-409C-BE32-E72D297353CC}">
                  <c16:uniqueId val="{00000005-8CFF-4F6E-B9C5-548F112466D4}"/>
                </c:ext>
              </c:extLst>
            </c:dLbl>
            <c:dLbl>
              <c:idx val="3"/>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8CFF-4F6E-B9C5-548F112466D4}"/>
                </c:ext>
              </c:extLst>
            </c:dLbl>
            <c:dLbl>
              <c:idx val="4"/>
              <c:layout>
                <c:manualLayout>
                  <c:x val="1.6683358783118406E-2"/>
                  <c:y val="-6.3841427501021467E-2"/>
                </c:manualLayout>
              </c:layout>
              <c:spPr>
                <a:solidFill>
                  <a:sysClr val="window" lastClr="FFFFFF"/>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2409"/>
                        <a:gd name="adj2" fmla="val 167936"/>
                      </a:avLst>
                    </a:prstGeom>
                    <a:noFill/>
                    <a:ln>
                      <a:noFill/>
                    </a:ln>
                  </c15:spPr>
                </c:ext>
                <c:ext xmlns:c16="http://schemas.microsoft.com/office/drawing/2014/chart" uri="{C3380CC4-5D6E-409C-BE32-E72D297353CC}">
                  <c16:uniqueId val="{0000000A-8CFF-4F6E-B9C5-548F112466D4}"/>
                </c:ext>
              </c:extLst>
            </c:dLbl>
            <c:dLbl>
              <c:idx val="5"/>
              <c:layout>
                <c:manualLayout>
                  <c:x val="0.10010015269871063"/>
                  <c:y val="-5.3201189584184537E-2"/>
                </c:manualLayout>
              </c:layout>
              <c:spPr>
                <a:solidFill>
                  <a:sysClr val="window" lastClr="FFFFFF"/>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564"/>
                        <a:gd name="adj2" fmla="val 193213"/>
                      </a:avLst>
                    </a:prstGeom>
                    <a:noFill/>
                    <a:ln>
                      <a:noFill/>
                    </a:ln>
                  </c15:spPr>
                </c:ext>
                <c:ext xmlns:c16="http://schemas.microsoft.com/office/drawing/2014/chart" uri="{C3380CC4-5D6E-409C-BE32-E72D297353CC}">
                  <c16:uniqueId val="{00000009-8CFF-4F6E-B9C5-548F112466D4}"/>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'7-Curing Regime '!$F$6:$F$11</c:f>
              <c:strCache>
                <c:ptCount val="6"/>
                <c:pt idx="0">
                  <c:v>Standard/Normal Curing </c:v>
                </c:pt>
                <c:pt idx="1">
                  <c:v>Air Dry Curing </c:v>
                </c:pt>
                <c:pt idx="2">
                  <c:v>Autoclaved Curing </c:v>
                </c:pt>
                <c:pt idx="3">
                  <c:v>Heat Curing /Oven Curing </c:v>
                </c:pt>
                <c:pt idx="4">
                  <c:v>Steam Curing </c:v>
                </c:pt>
                <c:pt idx="5">
                  <c:v>Hot Water Curing</c:v>
                </c:pt>
              </c:strCache>
            </c:strRef>
          </c:cat>
          <c:val>
            <c:numRef>
              <c:f>'7-Curing Regime '!$G$6:$G$11</c:f>
              <c:numCache>
                <c:formatCode>General</c:formatCode>
                <c:ptCount val="6"/>
                <c:pt idx="0">
                  <c:v>1295</c:v>
                </c:pt>
                <c:pt idx="1">
                  <c:v>16</c:v>
                </c:pt>
                <c:pt idx="2">
                  <c:v>88</c:v>
                </c:pt>
                <c:pt idx="3">
                  <c:v>285</c:v>
                </c:pt>
                <c:pt idx="4">
                  <c:v>391</c:v>
                </c:pt>
                <c:pt idx="5">
                  <c:v>105</c:v>
                </c:pt>
              </c:numCache>
            </c:numRef>
          </c:val>
          <c:extLst>
            <c:ext xmlns:c16="http://schemas.microsoft.com/office/drawing/2014/chart" uri="{C3380CC4-5D6E-409C-BE32-E72D297353CC}">
              <c16:uniqueId val="{00000008-8CFF-4F6E-B9C5-548F112466D4}"/>
            </c:ext>
          </c:extLst>
        </c:ser>
        <c:dLbls>
          <c:dLblPos val="outEnd"/>
          <c:showLegendKey val="0"/>
          <c:showVal val="0"/>
          <c:showCatName val="0"/>
          <c:showSerName val="0"/>
          <c:showPercent val="0"/>
          <c:showBubbleSize val="0"/>
          <c:showLeaderLines val="0"/>
        </c:dLbls>
      </c:pie3DChart>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58963</xdr:colOff>
      <xdr:row>31</xdr:row>
      <xdr:rowOff>111579</xdr:rowOff>
    </xdr:from>
    <xdr:to>
      <xdr:col>15</xdr:col>
      <xdr:colOff>190500</xdr:colOff>
      <xdr:row>61</xdr:row>
      <xdr:rowOff>36286</xdr:rowOff>
    </xdr:to>
    <xdr:graphicFrame macro="">
      <xdr:nvGraphicFramePr>
        <xdr:cNvPr id="2" name="Chart 1">
          <a:extLst>
            <a:ext uri="{FF2B5EF4-FFF2-40B4-BE49-F238E27FC236}">
              <a16:creationId xmlns:a16="http://schemas.microsoft.com/office/drawing/2014/main" id="{37F3329E-ABFE-9690-2DD9-43F6AF00C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317499</xdr:colOff>
      <xdr:row>1</xdr:row>
      <xdr:rowOff>51707</xdr:rowOff>
    </xdr:from>
    <xdr:to>
      <xdr:col>13</xdr:col>
      <xdr:colOff>1164790</xdr:colOff>
      <xdr:row>14</xdr:row>
      <xdr:rowOff>62591</xdr:rowOff>
    </xdr:to>
    <xdr:pic>
      <xdr:nvPicPr>
        <xdr:cNvPr id="2" name="Picture 1">
          <a:extLst>
            <a:ext uri="{FF2B5EF4-FFF2-40B4-BE49-F238E27FC236}">
              <a16:creationId xmlns:a16="http://schemas.microsoft.com/office/drawing/2014/main" id="{4B0A4B6F-7773-DF78-0113-6D21E1C89188}"/>
            </a:ext>
          </a:extLst>
        </xdr:cNvPr>
        <xdr:cNvPicPr>
          <a:picLocks noChangeAspect="1"/>
        </xdr:cNvPicPr>
      </xdr:nvPicPr>
      <xdr:blipFill>
        <a:blip xmlns:r="http://schemas.openxmlformats.org/officeDocument/2006/relationships" r:embed="rId1"/>
        <a:stretch>
          <a:fillRect/>
        </a:stretch>
      </xdr:blipFill>
      <xdr:spPr>
        <a:xfrm>
          <a:off x="5422899" y="235857"/>
          <a:ext cx="8168841" cy="24873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331612</xdr:colOff>
      <xdr:row>0</xdr:row>
      <xdr:rowOff>90715</xdr:rowOff>
    </xdr:from>
    <xdr:to>
      <xdr:col>20</xdr:col>
      <xdr:colOff>115473</xdr:colOff>
      <xdr:row>17</xdr:row>
      <xdr:rowOff>79313</xdr:rowOff>
    </xdr:to>
    <xdr:pic>
      <xdr:nvPicPr>
        <xdr:cNvPr id="3" name="Picture 2">
          <a:extLst>
            <a:ext uri="{FF2B5EF4-FFF2-40B4-BE49-F238E27FC236}">
              <a16:creationId xmlns:a16="http://schemas.microsoft.com/office/drawing/2014/main" id="{8FFE65E4-34B6-C4E6-5707-1F5A6C381570}"/>
            </a:ext>
          </a:extLst>
        </xdr:cNvPr>
        <xdr:cNvPicPr>
          <a:picLocks noChangeAspect="1"/>
        </xdr:cNvPicPr>
      </xdr:nvPicPr>
      <xdr:blipFill>
        <a:blip xmlns:r="http://schemas.openxmlformats.org/officeDocument/2006/relationships" r:embed="rId1"/>
        <a:stretch>
          <a:fillRect/>
        </a:stretch>
      </xdr:blipFill>
      <xdr:spPr>
        <a:xfrm>
          <a:off x="6200826" y="90715"/>
          <a:ext cx="9245361" cy="3345027"/>
        </a:xfrm>
        <a:prstGeom prst="rect">
          <a:avLst/>
        </a:prstGeom>
      </xdr:spPr>
    </xdr:pic>
    <xdr:clientData/>
  </xdr:twoCellAnchor>
  <xdr:twoCellAnchor editAs="oneCell">
    <xdr:from>
      <xdr:col>23</xdr:col>
      <xdr:colOff>249968</xdr:colOff>
      <xdr:row>1</xdr:row>
      <xdr:rowOff>0</xdr:rowOff>
    </xdr:from>
    <xdr:to>
      <xdr:col>35</xdr:col>
      <xdr:colOff>318159</xdr:colOff>
      <xdr:row>13</xdr:row>
      <xdr:rowOff>67944</xdr:rowOff>
    </xdr:to>
    <xdr:pic>
      <xdr:nvPicPr>
        <xdr:cNvPr id="4" name="Picture 3">
          <a:extLst>
            <a:ext uri="{FF2B5EF4-FFF2-40B4-BE49-F238E27FC236}">
              <a16:creationId xmlns:a16="http://schemas.microsoft.com/office/drawing/2014/main" id="{78EB1D2D-1DFF-3E4B-BC7A-F2A2317226D0}"/>
            </a:ext>
          </a:extLst>
        </xdr:cNvPr>
        <xdr:cNvPicPr>
          <a:picLocks noChangeAspect="1"/>
        </xdr:cNvPicPr>
      </xdr:nvPicPr>
      <xdr:blipFill>
        <a:blip xmlns:r="http://schemas.openxmlformats.org/officeDocument/2006/relationships" r:embed="rId2"/>
        <a:stretch>
          <a:fillRect/>
        </a:stretch>
      </xdr:blipFill>
      <xdr:spPr>
        <a:xfrm>
          <a:off x="8804325" y="0"/>
          <a:ext cx="7624691" cy="24628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345516</xdr:colOff>
      <xdr:row>2</xdr:row>
      <xdr:rowOff>121397</xdr:rowOff>
    </xdr:from>
    <xdr:to>
      <xdr:col>18</xdr:col>
      <xdr:colOff>34214</xdr:colOff>
      <xdr:row>19</xdr:row>
      <xdr:rowOff>31920</xdr:rowOff>
    </xdr:to>
    <xdr:pic>
      <xdr:nvPicPr>
        <xdr:cNvPr id="4" name="Picture 3">
          <a:extLst>
            <a:ext uri="{FF2B5EF4-FFF2-40B4-BE49-F238E27FC236}">
              <a16:creationId xmlns:a16="http://schemas.microsoft.com/office/drawing/2014/main" id="{CA781540-BFD8-996F-2740-F652E06E1D09}"/>
            </a:ext>
          </a:extLst>
        </xdr:cNvPr>
        <xdr:cNvPicPr>
          <a:picLocks noChangeAspect="1"/>
        </xdr:cNvPicPr>
      </xdr:nvPicPr>
      <xdr:blipFill>
        <a:blip xmlns:r="http://schemas.openxmlformats.org/officeDocument/2006/relationships" r:embed="rId1"/>
        <a:stretch>
          <a:fillRect/>
        </a:stretch>
      </xdr:blipFill>
      <xdr:spPr>
        <a:xfrm>
          <a:off x="11215222" y="494926"/>
          <a:ext cx="5151566" cy="3346994"/>
        </a:xfrm>
        <a:prstGeom prst="rect">
          <a:avLst/>
        </a:prstGeom>
      </xdr:spPr>
    </xdr:pic>
    <xdr:clientData/>
  </xdr:twoCellAnchor>
  <xdr:twoCellAnchor editAs="oneCell">
    <xdr:from>
      <xdr:col>11</xdr:col>
      <xdr:colOff>74706</xdr:colOff>
      <xdr:row>35</xdr:row>
      <xdr:rowOff>46691</xdr:rowOff>
    </xdr:from>
    <xdr:to>
      <xdr:col>20</xdr:col>
      <xdr:colOff>110907</xdr:colOff>
      <xdr:row>53</xdr:row>
      <xdr:rowOff>312573</xdr:rowOff>
    </xdr:to>
    <xdr:pic>
      <xdr:nvPicPr>
        <xdr:cNvPr id="5" name="Picture 4">
          <a:extLst>
            <a:ext uri="{FF2B5EF4-FFF2-40B4-BE49-F238E27FC236}">
              <a16:creationId xmlns:a16="http://schemas.microsoft.com/office/drawing/2014/main" id="{02D11ADF-0553-4FEB-80E2-8630A85AF80A}"/>
            </a:ext>
          </a:extLst>
        </xdr:cNvPr>
        <xdr:cNvPicPr>
          <a:picLocks noChangeAspect="1"/>
        </xdr:cNvPicPr>
      </xdr:nvPicPr>
      <xdr:blipFill>
        <a:blip xmlns:r="http://schemas.openxmlformats.org/officeDocument/2006/relationships" r:embed="rId2"/>
        <a:stretch>
          <a:fillRect/>
        </a:stretch>
      </xdr:blipFill>
      <xdr:spPr>
        <a:xfrm>
          <a:off x="12158382" y="7928162"/>
          <a:ext cx="5499069" cy="53832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192498</xdr:colOff>
      <xdr:row>0</xdr:row>
      <xdr:rowOff>72571</xdr:rowOff>
    </xdr:from>
    <xdr:to>
      <xdr:col>22</xdr:col>
      <xdr:colOff>328806</xdr:colOff>
      <xdr:row>16</xdr:row>
      <xdr:rowOff>77549</xdr:rowOff>
    </xdr:to>
    <xdr:pic>
      <xdr:nvPicPr>
        <xdr:cNvPr id="2" name="Picture 1">
          <a:extLst>
            <a:ext uri="{FF2B5EF4-FFF2-40B4-BE49-F238E27FC236}">
              <a16:creationId xmlns:a16="http://schemas.microsoft.com/office/drawing/2014/main" id="{640AF670-719A-1046-E55F-8981033151AC}"/>
            </a:ext>
          </a:extLst>
        </xdr:cNvPr>
        <xdr:cNvPicPr>
          <a:picLocks noChangeAspect="1"/>
        </xdr:cNvPicPr>
      </xdr:nvPicPr>
      <xdr:blipFill>
        <a:blip xmlns:r="http://schemas.openxmlformats.org/officeDocument/2006/relationships" r:embed="rId1"/>
        <a:stretch>
          <a:fillRect/>
        </a:stretch>
      </xdr:blipFill>
      <xdr:spPr>
        <a:xfrm>
          <a:off x="13899427" y="1524000"/>
          <a:ext cx="5606379" cy="328883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323850</xdr:colOff>
      <xdr:row>1</xdr:row>
      <xdr:rowOff>63500</xdr:rowOff>
    </xdr:from>
    <xdr:to>
      <xdr:col>21</xdr:col>
      <xdr:colOff>13614</xdr:colOff>
      <xdr:row>12</xdr:row>
      <xdr:rowOff>332972</xdr:rowOff>
    </xdr:to>
    <xdr:pic>
      <xdr:nvPicPr>
        <xdr:cNvPr id="7" name="Picture 6">
          <a:extLst>
            <a:ext uri="{FF2B5EF4-FFF2-40B4-BE49-F238E27FC236}">
              <a16:creationId xmlns:a16="http://schemas.microsoft.com/office/drawing/2014/main" id="{3BA86274-CA3E-0029-60ED-B09771B8E470}"/>
            </a:ext>
          </a:extLst>
        </xdr:cNvPr>
        <xdr:cNvPicPr>
          <a:picLocks noChangeAspect="1"/>
        </xdr:cNvPicPr>
      </xdr:nvPicPr>
      <xdr:blipFill>
        <a:blip xmlns:r="http://schemas.openxmlformats.org/officeDocument/2006/relationships" r:embed="rId1"/>
        <a:stretch>
          <a:fillRect/>
        </a:stretch>
      </xdr:blipFill>
      <xdr:spPr>
        <a:xfrm>
          <a:off x="10299700" y="247650"/>
          <a:ext cx="7614564" cy="26824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503785</xdr:colOff>
      <xdr:row>1</xdr:row>
      <xdr:rowOff>15329</xdr:rowOff>
    </xdr:from>
    <xdr:to>
      <xdr:col>25</xdr:col>
      <xdr:colOff>171572</xdr:colOff>
      <xdr:row>15</xdr:row>
      <xdr:rowOff>73980</xdr:rowOff>
    </xdr:to>
    <xdr:graphicFrame macro="">
      <xdr:nvGraphicFramePr>
        <xdr:cNvPr id="3" name="Chart 2">
          <a:extLst>
            <a:ext uri="{FF2B5EF4-FFF2-40B4-BE49-F238E27FC236}">
              <a16:creationId xmlns:a16="http://schemas.microsoft.com/office/drawing/2014/main" id="{D48A7430-B08C-401F-8859-A313C3066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342900</xdr:colOff>
      <xdr:row>3</xdr:row>
      <xdr:rowOff>165100</xdr:rowOff>
    </xdr:from>
    <xdr:to>
      <xdr:col>12</xdr:col>
      <xdr:colOff>379955</xdr:colOff>
      <xdr:row>25</xdr:row>
      <xdr:rowOff>58254</xdr:rowOff>
    </xdr:to>
    <xdr:pic>
      <xdr:nvPicPr>
        <xdr:cNvPr id="3" name="Picture 2">
          <a:extLst>
            <a:ext uri="{FF2B5EF4-FFF2-40B4-BE49-F238E27FC236}">
              <a16:creationId xmlns:a16="http://schemas.microsoft.com/office/drawing/2014/main" id="{78EB4F9A-25D9-3D2F-CC69-E97C7FC2DC58}"/>
            </a:ext>
          </a:extLst>
        </xdr:cNvPr>
        <xdr:cNvPicPr>
          <a:picLocks noChangeAspect="1"/>
        </xdr:cNvPicPr>
      </xdr:nvPicPr>
      <xdr:blipFill>
        <a:blip xmlns:r="http://schemas.openxmlformats.org/officeDocument/2006/relationships" r:embed="rId1"/>
        <a:stretch>
          <a:fillRect/>
        </a:stretch>
      </xdr:blipFill>
      <xdr:spPr>
        <a:xfrm>
          <a:off x="2171700" y="831850"/>
          <a:ext cx="5523455" cy="39444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5550722\Downloads\PHD-UNSW\UHPC\Machine%20Learning%20Modeling\Machine%20Learning\Database\Data%20in%20Brief%20Research%20Article\Final%20Dataset\Summary%20of%20Dataset.xlsx" TargetMode="External"/><Relationship Id="rId1" Type="http://schemas.openxmlformats.org/officeDocument/2006/relationships/externalLinkPath" Target="/Users/z5550722/Downloads/PHD-UNSW/UHPC/Machine%20Learning%20Modeling/Machine%20Learning/Database/Data%20in%20Brief%20Research%20Article/Final%20Dataset/Summary%20of%20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ater and Superplasticizer"/>
      <sheetName val="Readme "/>
      <sheetName val="Regional and year wise "/>
      <sheetName val="Cement and Composition"/>
      <sheetName val="SCMs and Nano Particles"/>
      <sheetName val="Sand and Fillers "/>
      <sheetName val="Fibers "/>
      <sheetName val="Curing Regime "/>
      <sheetName val="Specimens and Properities "/>
      <sheetName val="Distribtion of 28Days CS"/>
    </sheetNames>
    <sheetDataSet>
      <sheetData sheetId="0" refreshError="1"/>
      <sheetData sheetId="1" refreshError="1"/>
      <sheetData sheetId="2" refreshError="1"/>
      <sheetData sheetId="3"/>
      <sheetData sheetId="4" refreshError="1"/>
      <sheetData sheetId="5" refreshError="1"/>
      <sheetData sheetId="6" refreshError="1"/>
      <sheetData sheetId="7">
        <row r="6">
          <cell r="F6" t="str">
            <v xml:space="preserve">Standard/Normal Curing </v>
          </cell>
          <cell r="G6">
            <v>1295</v>
          </cell>
        </row>
        <row r="7">
          <cell r="F7" t="str">
            <v xml:space="preserve">Air Dry Curing </v>
          </cell>
          <cell r="G7">
            <v>16</v>
          </cell>
        </row>
        <row r="8">
          <cell r="F8" t="str">
            <v xml:space="preserve">Autoclaved Curing </v>
          </cell>
          <cell r="G8">
            <v>88</v>
          </cell>
        </row>
        <row r="9">
          <cell r="F9" t="str">
            <v xml:space="preserve">Heat Curing /Oven Curing </v>
          </cell>
          <cell r="G9">
            <v>285</v>
          </cell>
        </row>
        <row r="10">
          <cell r="F10" t="str">
            <v xml:space="preserve">Steam Curing </v>
          </cell>
          <cell r="G10">
            <v>391</v>
          </cell>
        </row>
        <row r="11">
          <cell r="F11" t="str">
            <v>Hot Water Curing</v>
          </cell>
          <cell r="G11">
            <v>105</v>
          </cell>
        </row>
      </sheetData>
      <sheetData sheetId="8"/>
      <sheetData sheetId="9"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FDF4-782B-4145-BE3A-18A21FEACED5}">
  <dimension ref="D2:Q24"/>
  <sheetViews>
    <sheetView tabSelected="1" topLeftCell="B1" zoomScale="160" zoomScaleNormal="160" workbookViewId="0">
      <selection activeCell="D3" sqref="D3:Q24"/>
    </sheetView>
  </sheetViews>
  <sheetFormatPr defaultRowHeight="14.5" x14ac:dyDescent="0.35"/>
  <sheetData>
    <row r="2" spans="4:17" ht="15" thickBot="1" x14ac:dyDescent="0.4"/>
    <row r="3" spans="4:17" x14ac:dyDescent="0.35">
      <c r="D3" s="86" t="s">
        <v>558</v>
      </c>
      <c r="E3" s="87"/>
      <c r="F3" s="87"/>
      <c r="G3" s="87"/>
      <c r="H3" s="87"/>
      <c r="I3" s="87"/>
      <c r="J3" s="87"/>
      <c r="K3" s="87"/>
      <c r="L3" s="87"/>
      <c r="M3" s="87"/>
      <c r="N3" s="87"/>
      <c r="O3" s="87"/>
      <c r="P3" s="87"/>
      <c r="Q3" s="88"/>
    </row>
    <row r="4" spans="4:17" x14ac:dyDescent="0.35">
      <c r="D4" s="89"/>
      <c r="E4" s="90"/>
      <c r="F4" s="90"/>
      <c r="G4" s="90"/>
      <c r="H4" s="90"/>
      <c r="I4" s="90"/>
      <c r="J4" s="90"/>
      <c r="K4" s="90"/>
      <c r="L4" s="90"/>
      <c r="M4" s="90"/>
      <c r="N4" s="90"/>
      <c r="O4" s="90"/>
      <c r="P4" s="90"/>
      <c r="Q4" s="91"/>
    </row>
    <row r="5" spans="4:17" x14ac:dyDescent="0.35">
      <c r="D5" s="89"/>
      <c r="E5" s="90"/>
      <c r="F5" s="90"/>
      <c r="G5" s="90"/>
      <c r="H5" s="90"/>
      <c r="I5" s="90"/>
      <c r="J5" s="90"/>
      <c r="K5" s="90"/>
      <c r="L5" s="90"/>
      <c r="M5" s="90"/>
      <c r="N5" s="90"/>
      <c r="O5" s="90"/>
      <c r="P5" s="90"/>
      <c r="Q5" s="91"/>
    </row>
    <row r="6" spans="4:17" x14ac:dyDescent="0.35">
      <c r="D6" s="89"/>
      <c r="E6" s="90"/>
      <c r="F6" s="90"/>
      <c r="G6" s="90"/>
      <c r="H6" s="90"/>
      <c r="I6" s="90"/>
      <c r="J6" s="90"/>
      <c r="K6" s="90"/>
      <c r="L6" s="90"/>
      <c r="M6" s="90"/>
      <c r="N6" s="90"/>
      <c r="O6" s="90"/>
      <c r="P6" s="90"/>
      <c r="Q6" s="91"/>
    </row>
    <row r="7" spans="4:17" x14ac:dyDescent="0.35">
      <c r="D7" s="89"/>
      <c r="E7" s="90"/>
      <c r="F7" s="90"/>
      <c r="G7" s="90"/>
      <c r="H7" s="90"/>
      <c r="I7" s="90"/>
      <c r="J7" s="90"/>
      <c r="K7" s="90"/>
      <c r="L7" s="90"/>
      <c r="M7" s="90"/>
      <c r="N7" s="90"/>
      <c r="O7" s="90"/>
      <c r="P7" s="90"/>
      <c r="Q7" s="91"/>
    </row>
    <row r="8" spans="4:17" x14ac:dyDescent="0.35">
      <c r="D8" s="89"/>
      <c r="E8" s="90"/>
      <c r="F8" s="90"/>
      <c r="G8" s="90"/>
      <c r="H8" s="90"/>
      <c r="I8" s="90"/>
      <c r="J8" s="90"/>
      <c r="K8" s="90"/>
      <c r="L8" s="90"/>
      <c r="M8" s="90"/>
      <c r="N8" s="90"/>
      <c r="O8" s="90"/>
      <c r="P8" s="90"/>
      <c r="Q8" s="91"/>
    </row>
    <row r="9" spans="4:17" x14ac:dyDescent="0.35">
      <c r="D9" s="89"/>
      <c r="E9" s="90"/>
      <c r="F9" s="90"/>
      <c r="G9" s="90"/>
      <c r="H9" s="90"/>
      <c r="I9" s="90"/>
      <c r="J9" s="90"/>
      <c r="K9" s="90"/>
      <c r="L9" s="90"/>
      <c r="M9" s="90"/>
      <c r="N9" s="90"/>
      <c r="O9" s="90"/>
      <c r="P9" s="90"/>
      <c r="Q9" s="91"/>
    </row>
    <row r="10" spans="4:17" x14ac:dyDescent="0.35">
      <c r="D10" s="89"/>
      <c r="E10" s="90"/>
      <c r="F10" s="90"/>
      <c r="G10" s="90"/>
      <c r="H10" s="90"/>
      <c r="I10" s="90"/>
      <c r="J10" s="90"/>
      <c r="K10" s="90"/>
      <c r="L10" s="90"/>
      <c r="M10" s="90"/>
      <c r="N10" s="90"/>
      <c r="O10" s="90"/>
      <c r="P10" s="90"/>
      <c r="Q10" s="91"/>
    </row>
    <row r="11" spans="4:17" x14ac:dyDescent="0.35">
      <c r="D11" s="89"/>
      <c r="E11" s="90"/>
      <c r="F11" s="90"/>
      <c r="G11" s="90"/>
      <c r="H11" s="90"/>
      <c r="I11" s="90"/>
      <c r="J11" s="90"/>
      <c r="K11" s="90"/>
      <c r="L11" s="90"/>
      <c r="M11" s="90"/>
      <c r="N11" s="90"/>
      <c r="O11" s="90"/>
      <c r="P11" s="90"/>
      <c r="Q11" s="91"/>
    </row>
    <row r="12" spans="4:17" x14ac:dyDescent="0.35">
      <c r="D12" s="89"/>
      <c r="E12" s="90"/>
      <c r="F12" s="90"/>
      <c r="G12" s="90"/>
      <c r="H12" s="90"/>
      <c r="I12" s="90"/>
      <c r="J12" s="90"/>
      <c r="K12" s="90"/>
      <c r="L12" s="90"/>
      <c r="M12" s="90"/>
      <c r="N12" s="90"/>
      <c r="O12" s="90"/>
      <c r="P12" s="90"/>
      <c r="Q12" s="91"/>
    </row>
    <row r="13" spans="4:17" x14ac:dyDescent="0.35">
      <c r="D13" s="89"/>
      <c r="E13" s="90"/>
      <c r="F13" s="90"/>
      <c r="G13" s="90"/>
      <c r="H13" s="90"/>
      <c r="I13" s="90"/>
      <c r="J13" s="90"/>
      <c r="K13" s="90"/>
      <c r="L13" s="90"/>
      <c r="M13" s="90"/>
      <c r="N13" s="90"/>
      <c r="O13" s="90"/>
      <c r="P13" s="90"/>
      <c r="Q13" s="91"/>
    </row>
    <row r="14" spans="4:17" x14ac:dyDescent="0.35">
      <c r="D14" s="89"/>
      <c r="E14" s="90"/>
      <c r="F14" s="90"/>
      <c r="G14" s="90"/>
      <c r="H14" s="90"/>
      <c r="I14" s="90"/>
      <c r="J14" s="90"/>
      <c r="K14" s="90"/>
      <c r="L14" s="90"/>
      <c r="M14" s="90"/>
      <c r="N14" s="90"/>
      <c r="O14" s="90"/>
      <c r="P14" s="90"/>
      <c r="Q14" s="91"/>
    </row>
    <row r="15" spans="4:17" x14ac:dyDescent="0.35">
      <c r="D15" s="89"/>
      <c r="E15" s="90"/>
      <c r="F15" s="90"/>
      <c r="G15" s="90"/>
      <c r="H15" s="90"/>
      <c r="I15" s="90"/>
      <c r="J15" s="90"/>
      <c r="K15" s="90"/>
      <c r="L15" s="90"/>
      <c r="M15" s="90"/>
      <c r="N15" s="90"/>
      <c r="O15" s="90"/>
      <c r="P15" s="90"/>
      <c r="Q15" s="91"/>
    </row>
    <row r="16" spans="4:17" x14ac:dyDescent="0.35">
      <c r="D16" s="89"/>
      <c r="E16" s="90"/>
      <c r="F16" s="90"/>
      <c r="G16" s="90"/>
      <c r="H16" s="90"/>
      <c r="I16" s="90"/>
      <c r="J16" s="90"/>
      <c r="K16" s="90"/>
      <c r="L16" s="90"/>
      <c r="M16" s="90"/>
      <c r="N16" s="90"/>
      <c r="O16" s="90"/>
      <c r="P16" s="90"/>
      <c r="Q16" s="91"/>
    </row>
    <row r="17" spans="4:17" x14ac:dyDescent="0.35">
      <c r="D17" s="89"/>
      <c r="E17" s="90"/>
      <c r="F17" s="90"/>
      <c r="G17" s="90"/>
      <c r="H17" s="90"/>
      <c r="I17" s="90"/>
      <c r="J17" s="90"/>
      <c r="K17" s="90"/>
      <c r="L17" s="90"/>
      <c r="M17" s="90"/>
      <c r="N17" s="90"/>
      <c r="O17" s="90"/>
      <c r="P17" s="90"/>
      <c r="Q17" s="91"/>
    </row>
    <row r="18" spans="4:17" x14ac:dyDescent="0.35">
      <c r="D18" s="89"/>
      <c r="E18" s="90"/>
      <c r="F18" s="90"/>
      <c r="G18" s="90"/>
      <c r="H18" s="90"/>
      <c r="I18" s="90"/>
      <c r="J18" s="90"/>
      <c r="K18" s="90"/>
      <c r="L18" s="90"/>
      <c r="M18" s="90"/>
      <c r="N18" s="90"/>
      <c r="O18" s="90"/>
      <c r="P18" s="90"/>
      <c r="Q18" s="91"/>
    </row>
    <row r="19" spans="4:17" x14ac:dyDescent="0.35">
      <c r="D19" s="89"/>
      <c r="E19" s="90"/>
      <c r="F19" s="90"/>
      <c r="G19" s="90"/>
      <c r="H19" s="90"/>
      <c r="I19" s="90"/>
      <c r="J19" s="90"/>
      <c r="K19" s="90"/>
      <c r="L19" s="90"/>
      <c r="M19" s="90"/>
      <c r="N19" s="90"/>
      <c r="O19" s="90"/>
      <c r="P19" s="90"/>
      <c r="Q19" s="91"/>
    </row>
    <row r="20" spans="4:17" x14ac:dyDescent="0.35">
      <c r="D20" s="89"/>
      <c r="E20" s="90"/>
      <c r="F20" s="90"/>
      <c r="G20" s="90"/>
      <c r="H20" s="90"/>
      <c r="I20" s="90"/>
      <c r="J20" s="90"/>
      <c r="K20" s="90"/>
      <c r="L20" s="90"/>
      <c r="M20" s="90"/>
      <c r="N20" s="90"/>
      <c r="O20" s="90"/>
      <c r="P20" s="90"/>
      <c r="Q20" s="91"/>
    </row>
    <row r="21" spans="4:17" x14ac:dyDescent="0.35">
      <c r="D21" s="89"/>
      <c r="E21" s="90"/>
      <c r="F21" s="90"/>
      <c r="G21" s="90"/>
      <c r="H21" s="90"/>
      <c r="I21" s="90"/>
      <c r="J21" s="90"/>
      <c r="K21" s="90"/>
      <c r="L21" s="90"/>
      <c r="M21" s="90"/>
      <c r="N21" s="90"/>
      <c r="O21" s="90"/>
      <c r="P21" s="90"/>
      <c r="Q21" s="91"/>
    </row>
    <row r="22" spans="4:17" x14ac:dyDescent="0.35">
      <c r="D22" s="89"/>
      <c r="E22" s="90"/>
      <c r="F22" s="90"/>
      <c r="G22" s="90"/>
      <c r="H22" s="90"/>
      <c r="I22" s="90"/>
      <c r="J22" s="90"/>
      <c r="K22" s="90"/>
      <c r="L22" s="90"/>
      <c r="M22" s="90"/>
      <c r="N22" s="90"/>
      <c r="O22" s="90"/>
      <c r="P22" s="90"/>
      <c r="Q22" s="91"/>
    </row>
    <row r="23" spans="4:17" x14ac:dyDescent="0.35">
      <c r="D23" s="89"/>
      <c r="E23" s="90"/>
      <c r="F23" s="90"/>
      <c r="G23" s="90"/>
      <c r="H23" s="90"/>
      <c r="I23" s="90"/>
      <c r="J23" s="90"/>
      <c r="K23" s="90"/>
      <c r="L23" s="90"/>
      <c r="M23" s="90"/>
      <c r="N23" s="90"/>
      <c r="O23" s="90"/>
      <c r="P23" s="90"/>
      <c r="Q23" s="91"/>
    </row>
    <row r="24" spans="4:17" ht="50.5" customHeight="1" thickBot="1" x14ac:dyDescent="0.4">
      <c r="D24" s="92"/>
      <c r="E24" s="93"/>
      <c r="F24" s="93"/>
      <c r="G24" s="93"/>
      <c r="H24" s="93"/>
      <c r="I24" s="93"/>
      <c r="J24" s="93"/>
      <c r="K24" s="93"/>
      <c r="L24" s="93"/>
      <c r="M24" s="93"/>
      <c r="N24" s="93"/>
      <c r="O24" s="93"/>
      <c r="P24" s="93"/>
      <c r="Q24" s="94"/>
    </row>
  </sheetData>
  <mergeCells count="1">
    <mergeCell ref="D3:Q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C4D1-2E85-4980-85D7-7F3D085FF6C8}">
  <dimension ref="D2:L31"/>
  <sheetViews>
    <sheetView zoomScale="130" zoomScaleNormal="130" workbookViewId="0">
      <selection activeCell="K2" sqref="K2:L2"/>
    </sheetView>
  </sheetViews>
  <sheetFormatPr defaultRowHeight="14.5" x14ac:dyDescent="0.35"/>
  <cols>
    <col min="4" max="4" width="15.81640625" customWidth="1"/>
    <col min="7" max="7" width="11.36328125" bestFit="1" customWidth="1"/>
    <col min="12" max="12" width="11.1796875" customWidth="1"/>
  </cols>
  <sheetData>
    <row r="2" spans="4:12" x14ac:dyDescent="0.35">
      <c r="D2" s="95" t="s">
        <v>302</v>
      </c>
      <c r="E2" s="95"/>
      <c r="F2" s="95"/>
      <c r="G2" s="95"/>
      <c r="K2" s="96" t="s">
        <v>303</v>
      </c>
      <c r="L2" s="96"/>
    </row>
    <row r="3" spans="4:12" ht="39" x14ac:dyDescent="0.35">
      <c r="D3" s="47" t="s">
        <v>30</v>
      </c>
      <c r="E3" s="53" t="s">
        <v>29</v>
      </c>
      <c r="F3" s="53" t="s">
        <v>28</v>
      </c>
      <c r="G3" s="47" t="s">
        <v>27</v>
      </c>
      <c r="K3" s="55"/>
      <c r="L3" s="56" t="s">
        <v>29</v>
      </c>
    </row>
    <row r="4" spans="4:12" x14ac:dyDescent="0.35">
      <c r="D4" s="48" t="s">
        <v>26</v>
      </c>
      <c r="E4" s="49">
        <v>1</v>
      </c>
      <c r="F4" s="47">
        <v>2</v>
      </c>
      <c r="G4" s="50">
        <f t="shared" ref="G4:G30" si="0">F4/2188*100</f>
        <v>9.1407678244972576E-2</v>
      </c>
      <c r="K4" s="55">
        <v>2006</v>
      </c>
      <c r="L4" s="55">
        <v>2</v>
      </c>
    </row>
    <row r="5" spans="4:12" x14ac:dyDescent="0.35">
      <c r="D5" s="51" t="s">
        <v>23</v>
      </c>
      <c r="E5" s="49">
        <v>1</v>
      </c>
      <c r="F5" s="47">
        <v>1</v>
      </c>
      <c r="G5" s="50">
        <f t="shared" si="0"/>
        <v>4.5703839122486288E-2</v>
      </c>
      <c r="K5" s="55">
        <v>2007</v>
      </c>
      <c r="L5" s="55">
        <v>1</v>
      </c>
    </row>
    <row r="6" spans="4:12" x14ac:dyDescent="0.35">
      <c r="D6" s="48" t="s">
        <v>24</v>
      </c>
      <c r="E6" s="49">
        <v>1</v>
      </c>
      <c r="F6" s="47">
        <v>4</v>
      </c>
      <c r="G6" s="50">
        <f t="shared" si="0"/>
        <v>0.18281535648994515</v>
      </c>
      <c r="K6" s="57">
        <v>2008</v>
      </c>
      <c r="L6" s="55">
        <v>5</v>
      </c>
    </row>
    <row r="7" spans="4:12" x14ac:dyDescent="0.35">
      <c r="D7" s="48" t="s">
        <v>11</v>
      </c>
      <c r="E7" s="49">
        <v>1</v>
      </c>
      <c r="F7" s="47">
        <v>4</v>
      </c>
      <c r="G7" s="50">
        <f t="shared" si="0"/>
        <v>0.18281535648994515</v>
      </c>
      <c r="K7" s="57">
        <v>2010</v>
      </c>
      <c r="L7" s="55">
        <v>6</v>
      </c>
    </row>
    <row r="8" spans="4:12" x14ac:dyDescent="0.35">
      <c r="D8" s="51" t="s">
        <v>4</v>
      </c>
      <c r="E8" s="49">
        <v>1</v>
      </c>
      <c r="F8" s="47">
        <v>4</v>
      </c>
      <c r="G8" s="50">
        <f t="shared" si="0"/>
        <v>0.18281535648994515</v>
      </c>
      <c r="K8" s="57">
        <v>2011</v>
      </c>
      <c r="L8" s="55">
        <v>6</v>
      </c>
    </row>
    <row r="9" spans="4:12" x14ac:dyDescent="0.35">
      <c r="D9" s="51" t="s">
        <v>20</v>
      </c>
      <c r="E9" s="49">
        <v>1</v>
      </c>
      <c r="F9" s="47">
        <v>8</v>
      </c>
      <c r="G9" s="50">
        <f t="shared" si="0"/>
        <v>0.3656307129798903</v>
      </c>
      <c r="K9" s="57">
        <v>2012</v>
      </c>
      <c r="L9" s="55">
        <v>6</v>
      </c>
    </row>
    <row r="10" spans="4:12" x14ac:dyDescent="0.35">
      <c r="D10" s="48" t="s">
        <v>8</v>
      </c>
      <c r="E10" s="49">
        <v>1</v>
      </c>
      <c r="F10" s="47">
        <v>10</v>
      </c>
      <c r="G10" s="50">
        <f t="shared" si="0"/>
        <v>0.45703839122486289</v>
      </c>
      <c r="K10" s="57">
        <v>2013</v>
      </c>
      <c r="L10" s="55">
        <v>5</v>
      </c>
    </row>
    <row r="11" spans="4:12" x14ac:dyDescent="0.35">
      <c r="D11" s="48" t="s">
        <v>0</v>
      </c>
      <c r="E11" s="49">
        <v>2</v>
      </c>
      <c r="F11" s="47">
        <v>10</v>
      </c>
      <c r="G11" s="50">
        <f t="shared" si="0"/>
        <v>0.45703839122486289</v>
      </c>
      <c r="K11" s="57">
        <v>2014</v>
      </c>
      <c r="L11" s="55">
        <v>9</v>
      </c>
    </row>
    <row r="12" spans="4:12" x14ac:dyDescent="0.35">
      <c r="D12" s="48" t="s">
        <v>2</v>
      </c>
      <c r="E12" s="49">
        <v>2</v>
      </c>
      <c r="F12" s="47">
        <v>14</v>
      </c>
      <c r="G12" s="50">
        <f t="shared" si="0"/>
        <v>0.63985374771480807</v>
      </c>
      <c r="K12" s="57">
        <v>2015</v>
      </c>
      <c r="L12" s="55">
        <v>12</v>
      </c>
    </row>
    <row r="13" spans="4:12" x14ac:dyDescent="0.35">
      <c r="D13" s="48" t="s">
        <v>13</v>
      </c>
      <c r="E13" s="49">
        <v>2</v>
      </c>
      <c r="F13" s="47">
        <v>14</v>
      </c>
      <c r="G13" s="50">
        <f t="shared" si="0"/>
        <v>0.63985374771480807</v>
      </c>
      <c r="K13" s="57">
        <v>2016</v>
      </c>
      <c r="L13" s="55">
        <v>16</v>
      </c>
    </row>
    <row r="14" spans="4:12" x14ac:dyDescent="0.35">
      <c r="D14" s="48" t="s">
        <v>25</v>
      </c>
      <c r="E14" s="49">
        <v>3</v>
      </c>
      <c r="F14" s="47">
        <v>16</v>
      </c>
      <c r="G14" s="50">
        <f t="shared" si="0"/>
        <v>0.73126142595978061</v>
      </c>
      <c r="K14" s="57">
        <v>2017</v>
      </c>
      <c r="L14" s="55">
        <v>17</v>
      </c>
    </row>
    <row r="15" spans="4:12" x14ac:dyDescent="0.35">
      <c r="D15" s="51" t="s">
        <v>16</v>
      </c>
      <c r="E15" s="49">
        <v>1</v>
      </c>
      <c r="F15" s="47">
        <v>16</v>
      </c>
      <c r="G15" s="50">
        <f t="shared" si="0"/>
        <v>0.73126142595978061</v>
      </c>
      <c r="K15" s="57">
        <v>2018</v>
      </c>
      <c r="L15" s="55">
        <v>23</v>
      </c>
    </row>
    <row r="16" spans="4:12" x14ac:dyDescent="0.35">
      <c r="D16" s="51" t="s">
        <v>19</v>
      </c>
      <c r="E16" s="49">
        <v>2</v>
      </c>
      <c r="F16" s="47">
        <v>17</v>
      </c>
      <c r="G16" s="50">
        <f t="shared" si="0"/>
        <v>0.77696526508226693</v>
      </c>
      <c r="K16" s="57">
        <v>2019</v>
      </c>
      <c r="L16" s="55">
        <v>18</v>
      </c>
    </row>
    <row r="17" spans="4:12" x14ac:dyDescent="0.35">
      <c r="D17" s="54" t="s">
        <v>17</v>
      </c>
      <c r="E17" s="49">
        <v>2</v>
      </c>
      <c r="F17" s="47">
        <v>20</v>
      </c>
      <c r="G17" s="50">
        <f t="shared" si="0"/>
        <v>0.91407678244972579</v>
      </c>
      <c r="K17" s="57">
        <v>2020</v>
      </c>
      <c r="L17" s="55">
        <v>8</v>
      </c>
    </row>
    <row r="18" spans="4:12" x14ac:dyDescent="0.35">
      <c r="D18" s="48" t="s">
        <v>5</v>
      </c>
      <c r="E18" s="49">
        <v>5</v>
      </c>
      <c r="F18" s="47">
        <v>26</v>
      </c>
      <c r="G18" s="50">
        <f t="shared" si="0"/>
        <v>1.1882998171846435</v>
      </c>
      <c r="K18" s="57">
        <v>2021</v>
      </c>
      <c r="L18" s="55">
        <v>12</v>
      </c>
    </row>
    <row r="19" spans="4:12" x14ac:dyDescent="0.35">
      <c r="D19" s="48" t="s">
        <v>18</v>
      </c>
      <c r="E19" s="49">
        <v>2</v>
      </c>
      <c r="F19" s="47">
        <v>28</v>
      </c>
      <c r="G19" s="50">
        <f t="shared" si="0"/>
        <v>1.2797074954296161</v>
      </c>
      <c r="K19" s="57">
        <v>2022</v>
      </c>
      <c r="L19" s="55">
        <v>6</v>
      </c>
    </row>
    <row r="20" spans="4:12" x14ac:dyDescent="0.35">
      <c r="D20" s="48" t="s">
        <v>14</v>
      </c>
      <c r="E20" s="49">
        <v>3</v>
      </c>
      <c r="F20" s="47">
        <v>41</v>
      </c>
      <c r="G20" s="50">
        <f t="shared" si="0"/>
        <v>1.8738574040219378</v>
      </c>
      <c r="K20" s="57">
        <v>2023</v>
      </c>
      <c r="L20" s="55">
        <v>5</v>
      </c>
    </row>
    <row r="21" spans="4:12" x14ac:dyDescent="0.35">
      <c r="D21" s="51" t="s">
        <v>9</v>
      </c>
      <c r="E21" s="49">
        <v>5</v>
      </c>
      <c r="F21" s="47">
        <v>53</v>
      </c>
      <c r="G21" s="50">
        <f t="shared" si="0"/>
        <v>2.4223034734917732</v>
      </c>
      <c r="K21" s="57">
        <v>2024</v>
      </c>
      <c r="L21" s="55">
        <v>9</v>
      </c>
    </row>
    <row r="22" spans="4:12" x14ac:dyDescent="0.35">
      <c r="D22" s="48" t="s">
        <v>6</v>
      </c>
      <c r="E22" s="49">
        <v>5</v>
      </c>
      <c r="F22" s="47">
        <v>73</v>
      </c>
      <c r="G22" s="50">
        <f t="shared" si="0"/>
        <v>3.3363802559414992</v>
      </c>
      <c r="K22" s="57">
        <v>2025</v>
      </c>
      <c r="L22" s="55">
        <v>2</v>
      </c>
    </row>
    <row r="23" spans="4:12" x14ac:dyDescent="0.35">
      <c r="D23" s="51" t="s">
        <v>22</v>
      </c>
      <c r="E23" s="49">
        <v>5</v>
      </c>
      <c r="F23" s="47">
        <v>79</v>
      </c>
      <c r="G23" s="50">
        <f t="shared" si="0"/>
        <v>3.6106032906764165</v>
      </c>
    </row>
    <row r="24" spans="4:12" x14ac:dyDescent="0.35">
      <c r="D24" s="48" t="s">
        <v>10</v>
      </c>
      <c r="E24" s="49">
        <v>5</v>
      </c>
      <c r="F24" s="47">
        <v>79</v>
      </c>
      <c r="G24" s="50">
        <f t="shared" si="0"/>
        <v>3.6106032906764165</v>
      </c>
    </row>
    <row r="25" spans="4:12" x14ac:dyDescent="0.35">
      <c r="D25" s="48" t="s">
        <v>15</v>
      </c>
      <c r="E25" s="49">
        <v>4</v>
      </c>
      <c r="F25" s="47">
        <v>92</v>
      </c>
      <c r="G25" s="50">
        <f t="shared" si="0"/>
        <v>4.2047531992687386</v>
      </c>
    </row>
    <row r="26" spans="4:12" x14ac:dyDescent="0.35">
      <c r="D26" s="48" t="s">
        <v>7</v>
      </c>
      <c r="E26" s="49">
        <v>4</v>
      </c>
      <c r="F26" s="47">
        <v>136</v>
      </c>
      <c r="G26" s="50">
        <f t="shared" si="0"/>
        <v>6.2157221206581355</v>
      </c>
    </row>
    <row r="27" spans="4:12" x14ac:dyDescent="0.35">
      <c r="D27" s="49" t="s">
        <v>12</v>
      </c>
      <c r="E27" s="49">
        <v>11</v>
      </c>
      <c r="F27" s="47">
        <v>140</v>
      </c>
      <c r="G27" s="50">
        <f t="shared" si="0"/>
        <v>6.3985374771480803</v>
      </c>
    </row>
    <row r="28" spans="4:12" x14ac:dyDescent="0.35">
      <c r="D28" s="48" t="s">
        <v>3</v>
      </c>
      <c r="E28" s="49">
        <v>7</v>
      </c>
      <c r="F28" s="47">
        <v>154</v>
      </c>
      <c r="G28" s="50">
        <f t="shared" si="0"/>
        <v>7.038391224862889</v>
      </c>
    </row>
    <row r="29" spans="4:12" x14ac:dyDescent="0.35">
      <c r="D29" s="49" t="s">
        <v>1</v>
      </c>
      <c r="E29" s="49">
        <v>19</v>
      </c>
      <c r="F29" s="47">
        <v>342</v>
      </c>
      <c r="G29" s="50">
        <f t="shared" si="0"/>
        <v>15.63071297989031</v>
      </c>
    </row>
    <row r="30" spans="4:12" x14ac:dyDescent="0.35">
      <c r="D30" s="48" t="s">
        <v>21</v>
      </c>
      <c r="E30" s="49">
        <v>72</v>
      </c>
      <c r="F30" s="47">
        <v>805</v>
      </c>
      <c r="G30" s="50">
        <f t="shared" si="0"/>
        <v>36.791590493601461</v>
      </c>
    </row>
    <row r="31" spans="4:12" x14ac:dyDescent="0.35">
      <c r="D31" s="52"/>
      <c r="E31" s="52"/>
      <c r="F31" s="52"/>
      <c r="G31" s="52"/>
    </row>
  </sheetData>
  <sortState xmlns:xlrd2="http://schemas.microsoft.com/office/spreadsheetml/2017/richdata2" ref="D5:G30">
    <sortCondition ref="F5:F30"/>
  </sortState>
  <mergeCells count="2">
    <mergeCell ref="D2:G2"/>
    <mergeCell ref="K2:L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DDAD4-6152-4406-8C50-372CF6ECF714}">
  <dimension ref="B2:Z41"/>
  <sheetViews>
    <sheetView zoomScaleNormal="100" workbookViewId="0">
      <selection activeCell="D2" sqref="D2"/>
    </sheetView>
  </sheetViews>
  <sheetFormatPr defaultRowHeight="14.5" x14ac:dyDescent="0.35"/>
  <cols>
    <col min="2" max="2" width="39.90625" bestFit="1" customWidth="1"/>
    <col min="3" max="3" width="12.36328125" customWidth="1"/>
    <col min="4" max="4" width="12.08984375" customWidth="1"/>
    <col min="6" max="6" width="14" bestFit="1" customWidth="1"/>
    <col min="8" max="8" width="12.1796875" bestFit="1" customWidth="1"/>
    <col min="9" max="9" width="15.81640625" customWidth="1"/>
    <col min="10" max="10" width="13.08984375" customWidth="1"/>
    <col min="11" max="11" width="12.81640625" customWidth="1"/>
    <col min="12" max="12" width="10.6328125" bestFit="1" customWidth="1"/>
    <col min="14" max="14" width="16.81640625" customWidth="1"/>
    <col min="15" max="15" width="17.81640625" bestFit="1" customWidth="1"/>
  </cols>
  <sheetData>
    <row r="2" spans="2:8" ht="15" customHeight="1" x14ac:dyDescent="0.35">
      <c r="B2" s="21"/>
      <c r="C2" s="26" t="s">
        <v>29</v>
      </c>
      <c r="D2" s="26" t="s">
        <v>28</v>
      </c>
      <c r="H2" s="20"/>
    </row>
    <row r="3" spans="2:8" ht="15" customHeight="1" x14ac:dyDescent="0.35">
      <c r="B3" s="24" t="s">
        <v>120</v>
      </c>
      <c r="C3" s="21">
        <v>33</v>
      </c>
      <c r="D3" s="21">
        <v>479</v>
      </c>
      <c r="H3" s="20"/>
    </row>
    <row r="4" spans="2:8" ht="15" customHeight="1" x14ac:dyDescent="0.35">
      <c r="B4" s="24" t="s">
        <v>121</v>
      </c>
      <c r="C4" s="21">
        <v>71</v>
      </c>
      <c r="D4" s="21">
        <v>757</v>
      </c>
      <c r="H4" s="18"/>
    </row>
    <row r="5" spans="2:8" ht="15" customHeight="1" x14ac:dyDescent="0.35">
      <c r="B5" s="60" t="s">
        <v>122</v>
      </c>
      <c r="C5" s="21">
        <v>5</v>
      </c>
      <c r="D5" s="21">
        <v>158</v>
      </c>
      <c r="H5" s="18"/>
    </row>
    <row r="6" spans="2:8" ht="15" customHeight="1" x14ac:dyDescent="0.35">
      <c r="B6" s="24" t="s">
        <v>123</v>
      </c>
      <c r="C6" s="21">
        <v>32</v>
      </c>
      <c r="D6" s="21">
        <v>418</v>
      </c>
      <c r="H6" s="58"/>
    </row>
    <row r="7" spans="2:8" ht="15" customHeight="1" x14ac:dyDescent="0.35">
      <c r="B7" s="24" t="s">
        <v>118</v>
      </c>
      <c r="C7" s="21">
        <v>4</v>
      </c>
      <c r="D7" s="21">
        <v>41</v>
      </c>
      <c r="H7" s="18"/>
    </row>
    <row r="8" spans="2:8" ht="15" customHeight="1" x14ac:dyDescent="0.35">
      <c r="B8" s="21" t="s">
        <v>124</v>
      </c>
      <c r="C8" s="21">
        <v>2</v>
      </c>
      <c r="D8" s="21">
        <v>59</v>
      </c>
      <c r="H8" s="19"/>
    </row>
    <row r="9" spans="2:8" ht="15" customHeight="1" x14ac:dyDescent="0.35">
      <c r="B9" s="21" t="s">
        <v>134</v>
      </c>
      <c r="C9" s="21">
        <v>4</v>
      </c>
      <c r="D9" s="21">
        <v>92</v>
      </c>
      <c r="H9" s="59"/>
    </row>
    <row r="10" spans="2:8" ht="15" customHeight="1" x14ac:dyDescent="0.35">
      <c r="B10" s="21" t="s">
        <v>125</v>
      </c>
      <c r="C10" s="21">
        <v>1</v>
      </c>
      <c r="D10" s="21">
        <v>1</v>
      </c>
      <c r="H10" s="20"/>
    </row>
    <row r="11" spans="2:8" ht="15" customHeight="1" x14ac:dyDescent="0.35">
      <c r="B11" s="21" t="s">
        <v>126</v>
      </c>
      <c r="C11" s="21"/>
      <c r="D11" s="21">
        <v>3</v>
      </c>
      <c r="H11" s="20"/>
    </row>
    <row r="12" spans="2:8" ht="15" customHeight="1" x14ac:dyDescent="0.35">
      <c r="B12" s="21" t="s">
        <v>127</v>
      </c>
      <c r="C12" s="21">
        <v>1</v>
      </c>
      <c r="D12" s="21">
        <v>16</v>
      </c>
      <c r="H12" s="20"/>
    </row>
    <row r="13" spans="2:8" ht="15" customHeight="1" x14ac:dyDescent="0.35">
      <c r="B13" s="21" t="s">
        <v>128</v>
      </c>
      <c r="C13" s="21">
        <v>2</v>
      </c>
      <c r="D13" s="21">
        <v>24</v>
      </c>
    </row>
    <row r="14" spans="2:8" ht="15" customHeight="1" x14ac:dyDescent="0.35">
      <c r="B14" s="24" t="s">
        <v>129</v>
      </c>
      <c r="C14" s="21"/>
      <c r="D14" s="21">
        <v>3</v>
      </c>
    </row>
    <row r="15" spans="2:8" ht="15" customHeight="1" x14ac:dyDescent="0.35">
      <c r="B15" s="21" t="s">
        <v>130</v>
      </c>
      <c r="C15" s="21">
        <v>1</v>
      </c>
      <c r="D15" s="21">
        <v>10</v>
      </c>
    </row>
    <row r="16" spans="2:8" ht="15" customHeight="1" x14ac:dyDescent="0.35">
      <c r="B16" s="21" t="s">
        <v>131</v>
      </c>
      <c r="C16" s="21">
        <v>1</v>
      </c>
      <c r="D16" s="21">
        <v>18</v>
      </c>
    </row>
    <row r="17" spans="2:26" ht="15" customHeight="1" x14ac:dyDescent="0.35">
      <c r="B17" s="24" t="s">
        <v>133</v>
      </c>
      <c r="C17" s="21">
        <v>6</v>
      </c>
      <c r="D17" s="21">
        <v>47</v>
      </c>
    </row>
    <row r="18" spans="2:26" ht="15" customHeight="1" x14ac:dyDescent="0.35">
      <c r="B18" s="21" t="s">
        <v>132</v>
      </c>
      <c r="C18" s="21">
        <v>5</v>
      </c>
      <c r="D18" s="21">
        <v>62</v>
      </c>
    </row>
    <row r="23" spans="2:26" x14ac:dyDescent="0.35">
      <c r="B23" s="97" t="s">
        <v>465</v>
      </c>
      <c r="C23" s="98"/>
      <c r="D23" s="98"/>
      <c r="E23" s="98"/>
      <c r="F23" s="98"/>
      <c r="G23" s="98"/>
      <c r="H23" s="98"/>
      <c r="I23" s="98"/>
      <c r="J23" s="98"/>
      <c r="K23" s="98"/>
      <c r="L23" s="98"/>
      <c r="M23" s="98"/>
      <c r="N23" s="98"/>
    </row>
    <row r="24" spans="2:26" ht="86.65" customHeight="1" thickBot="1" x14ac:dyDescent="0.4">
      <c r="B24" s="9"/>
      <c r="C24" s="99" t="s">
        <v>120</v>
      </c>
      <c r="D24" s="99"/>
      <c r="E24" s="99" t="s">
        <v>121</v>
      </c>
      <c r="F24" s="99"/>
      <c r="G24" s="99" t="s">
        <v>275</v>
      </c>
      <c r="H24" s="99"/>
      <c r="I24" s="9" t="s">
        <v>226</v>
      </c>
      <c r="J24" s="9" t="s">
        <v>118</v>
      </c>
      <c r="K24" s="9" t="s">
        <v>124</v>
      </c>
      <c r="L24" s="9" t="s">
        <v>119</v>
      </c>
      <c r="M24" s="9" t="s">
        <v>273</v>
      </c>
      <c r="N24" s="9" t="s">
        <v>131</v>
      </c>
    </row>
    <row r="25" spans="2:26" ht="15" thickBot="1" x14ac:dyDescent="0.4">
      <c r="B25" s="9" t="s">
        <v>274</v>
      </c>
      <c r="C25" s="99">
        <v>29</v>
      </c>
      <c r="D25" s="99"/>
      <c r="E25" s="99">
        <v>58</v>
      </c>
      <c r="F25" s="99"/>
      <c r="G25" s="99">
        <v>27</v>
      </c>
      <c r="H25" s="99"/>
      <c r="I25" s="9">
        <v>5</v>
      </c>
      <c r="J25" s="9">
        <v>3</v>
      </c>
      <c r="K25" s="9">
        <v>2</v>
      </c>
      <c r="L25" s="9">
        <v>1</v>
      </c>
      <c r="M25" s="9">
        <v>1</v>
      </c>
      <c r="N25" s="9">
        <v>1</v>
      </c>
      <c r="P25" s="16"/>
      <c r="Y25" s="16"/>
      <c r="Z25" s="15"/>
    </row>
    <row r="26" spans="2:26" ht="28" customHeight="1" thickBot="1" x14ac:dyDescent="0.4">
      <c r="B26" s="9"/>
      <c r="C26" s="9" t="s">
        <v>176</v>
      </c>
      <c r="D26" s="9" t="s">
        <v>177</v>
      </c>
      <c r="E26" s="9" t="s">
        <v>176</v>
      </c>
      <c r="F26" s="9" t="s">
        <v>177</v>
      </c>
      <c r="G26" s="9" t="s">
        <v>176</v>
      </c>
      <c r="H26" s="9" t="s">
        <v>177</v>
      </c>
      <c r="I26" s="9" t="s">
        <v>216</v>
      </c>
      <c r="J26" s="9"/>
      <c r="K26" s="9"/>
      <c r="L26" s="9"/>
      <c r="M26" s="9"/>
      <c r="N26" s="9"/>
      <c r="Y26" s="16"/>
    </row>
    <row r="27" spans="2:26" ht="15" thickBot="1" x14ac:dyDescent="0.4">
      <c r="B27" s="22" t="s">
        <v>72</v>
      </c>
      <c r="C27" s="6">
        <v>61.675357142857138</v>
      </c>
      <c r="D27" s="9" t="s">
        <v>227</v>
      </c>
      <c r="E27" s="6">
        <v>63.450431034482769</v>
      </c>
      <c r="F27" s="9" t="s">
        <v>240</v>
      </c>
      <c r="G27" s="6">
        <v>63.471111111111114</v>
      </c>
      <c r="H27" s="9" t="s">
        <v>255</v>
      </c>
      <c r="I27" s="9">
        <v>65.599999999999994</v>
      </c>
      <c r="J27" s="9">
        <v>64.5</v>
      </c>
      <c r="K27" s="27" t="s">
        <v>267</v>
      </c>
      <c r="L27" s="28">
        <v>52.14</v>
      </c>
      <c r="M27" s="27">
        <v>63.9</v>
      </c>
      <c r="N27" s="27">
        <v>65.099999999999994</v>
      </c>
      <c r="Y27" s="16"/>
    </row>
    <row r="28" spans="2:26" ht="15" thickBot="1" x14ac:dyDescent="0.4">
      <c r="B28" s="22" t="s">
        <v>73</v>
      </c>
      <c r="C28" s="6">
        <v>21.107857142857142</v>
      </c>
      <c r="D28" s="9" t="s">
        <v>228</v>
      </c>
      <c r="E28" s="6">
        <v>20.765758620689653</v>
      </c>
      <c r="F28" s="9" t="s">
        <v>241</v>
      </c>
      <c r="G28" s="6">
        <v>20.652962962962963</v>
      </c>
      <c r="H28" s="9" t="s">
        <v>256</v>
      </c>
      <c r="I28" s="9">
        <v>22</v>
      </c>
      <c r="J28" s="9">
        <v>19.72</v>
      </c>
      <c r="K28" s="27" t="s">
        <v>268</v>
      </c>
      <c r="L28" s="28">
        <v>24.94</v>
      </c>
      <c r="M28" s="27">
        <v>20.3</v>
      </c>
      <c r="N28" s="27">
        <v>20.6</v>
      </c>
      <c r="Y28" s="16"/>
    </row>
    <row r="29" spans="2:26" ht="15" thickBot="1" x14ac:dyDescent="0.4">
      <c r="B29" s="22" t="s">
        <v>74</v>
      </c>
      <c r="C29" s="6">
        <v>5.5832142857142886</v>
      </c>
      <c r="D29" s="9" t="s">
        <v>229</v>
      </c>
      <c r="E29" s="6">
        <v>4.7353965517241381</v>
      </c>
      <c r="F29" s="9" t="s">
        <v>242</v>
      </c>
      <c r="G29" s="6">
        <v>5.2474074074074064</v>
      </c>
      <c r="H29" s="9" t="s">
        <v>257</v>
      </c>
      <c r="I29" s="9">
        <v>3.5</v>
      </c>
      <c r="J29" s="9">
        <v>5.0999999999999996</v>
      </c>
      <c r="K29" s="27" t="s">
        <v>269</v>
      </c>
      <c r="L29" s="28">
        <v>7.5</v>
      </c>
      <c r="M29" s="27">
        <v>4.5999999999999996</v>
      </c>
      <c r="N29" s="27">
        <v>5</v>
      </c>
      <c r="Y29" s="16"/>
    </row>
    <row r="30" spans="2:26" ht="15" thickBot="1" x14ac:dyDescent="0.4">
      <c r="B30" s="22" t="s">
        <v>75</v>
      </c>
      <c r="C30" s="6">
        <v>3.3160714285714277</v>
      </c>
      <c r="D30" s="9" t="s">
        <v>230</v>
      </c>
      <c r="E30" s="6">
        <v>3.0722241379310331</v>
      </c>
      <c r="F30" s="9" t="s">
        <v>243</v>
      </c>
      <c r="G30" s="6">
        <v>3.4322222222222218</v>
      </c>
      <c r="H30" s="9" t="s">
        <v>258</v>
      </c>
      <c r="I30" s="9">
        <v>4.3</v>
      </c>
      <c r="J30" s="9">
        <v>2.76</v>
      </c>
      <c r="K30" s="27" t="s">
        <v>270</v>
      </c>
      <c r="L30" s="28">
        <v>2.62</v>
      </c>
      <c r="M30" s="27">
        <v>3.4</v>
      </c>
      <c r="N30" s="27">
        <v>4.4000000000000004</v>
      </c>
      <c r="Y30" s="16"/>
    </row>
    <row r="31" spans="2:26" ht="15" thickBot="1" x14ac:dyDescent="0.4">
      <c r="B31" s="22" t="s">
        <v>76</v>
      </c>
      <c r="C31" s="6">
        <v>0.73071428571428565</v>
      </c>
      <c r="D31" s="9" t="s">
        <v>231</v>
      </c>
      <c r="E31" s="6">
        <v>0.64235294117647068</v>
      </c>
      <c r="F31" s="9" t="s">
        <v>244</v>
      </c>
      <c r="G31" s="6">
        <v>0.59789473684210537</v>
      </c>
      <c r="H31" s="9" t="s">
        <v>259</v>
      </c>
      <c r="I31" s="9">
        <v>0.8</v>
      </c>
      <c r="J31" s="9"/>
      <c r="K31" s="27">
        <v>0.47</v>
      </c>
      <c r="L31" s="28">
        <v>0.51</v>
      </c>
      <c r="M31" s="27">
        <v>0.38</v>
      </c>
      <c r="N31" s="9"/>
      <c r="Y31" s="16"/>
    </row>
    <row r="32" spans="2:26" ht="15" thickBot="1" x14ac:dyDescent="0.4">
      <c r="B32" s="22" t="s">
        <v>77</v>
      </c>
      <c r="C32" s="6">
        <v>0.35499999999999998</v>
      </c>
      <c r="D32" s="9" t="s">
        <v>232</v>
      </c>
      <c r="E32" s="6">
        <v>0.30221568627450984</v>
      </c>
      <c r="F32" s="9" t="s">
        <v>245</v>
      </c>
      <c r="G32" s="6">
        <v>0.19857142857142854</v>
      </c>
      <c r="H32" s="9" t="s">
        <v>260</v>
      </c>
      <c r="I32" s="9">
        <v>7.0000000000000007E-2</v>
      </c>
      <c r="J32" s="9">
        <v>0.33</v>
      </c>
      <c r="K32" s="27">
        <v>0.22</v>
      </c>
      <c r="L32" s="28">
        <v>0.09</v>
      </c>
      <c r="M32" s="27">
        <v>0.23</v>
      </c>
      <c r="N32" s="9"/>
      <c r="Y32" s="16"/>
    </row>
    <row r="33" spans="2:26" ht="15" thickBot="1" x14ac:dyDescent="0.4">
      <c r="B33" s="22" t="s">
        <v>78</v>
      </c>
      <c r="C33" s="6">
        <v>2.5973913043478261</v>
      </c>
      <c r="D33" s="9" t="s">
        <v>233</v>
      </c>
      <c r="E33" s="6">
        <v>2.8069824561403509</v>
      </c>
      <c r="F33" s="9" t="s">
        <v>246</v>
      </c>
      <c r="G33" s="6">
        <v>2.5554166666666664</v>
      </c>
      <c r="H33" s="9" t="s">
        <v>261</v>
      </c>
      <c r="I33" s="9">
        <v>2.2999999999999998</v>
      </c>
      <c r="J33" s="9">
        <v>3.25</v>
      </c>
      <c r="K33" s="27" t="s">
        <v>271</v>
      </c>
      <c r="L33" s="28">
        <v>2.57</v>
      </c>
      <c r="M33" s="27">
        <v>2.86</v>
      </c>
      <c r="N33" s="27">
        <v>2.2000000000000002</v>
      </c>
      <c r="Y33" s="16"/>
    </row>
    <row r="34" spans="2:26" ht="15" thickBot="1" x14ac:dyDescent="0.4">
      <c r="B34" s="22" t="s">
        <v>79</v>
      </c>
      <c r="C34" s="6">
        <v>2.1561538461538459</v>
      </c>
      <c r="D34" s="9" t="s">
        <v>234</v>
      </c>
      <c r="E34" s="6">
        <v>1.7582586206896551</v>
      </c>
      <c r="F34" s="9" t="s">
        <v>247</v>
      </c>
      <c r="G34" s="6">
        <v>2.3003703703703704</v>
      </c>
      <c r="H34" s="9" t="s">
        <v>262</v>
      </c>
      <c r="I34" s="9">
        <v>1.9</v>
      </c>
      <c r="J34" s="9">
        <v>2.2999999999999998</v>
      </c>
      <c r="K34" s="27" t="s">
        <v>272</v>
      </c>
      <c r="L34" s="28">
        <v>5.34</v>
      </c>
      <c r="M34" s="27">
        <v>1.91</v>
      </c>
      <c r="N34" s="27">
        <v>0.6</v>
      </c>
      <c r="Y34" s="16"/>
    </row>
    <row r="35" spans="2:26" ht="15" thickBot="1" x14ac:dyDescent="0.4">
      <c r="B35" s="22" t="s">
        <v>80</v>
      </c>
      <c r="C35" s="6">
        <v>0.1</v>
      </c>
      <c r="D35" s="9" t="s">
        <v>235</v>
      </c>
      <c r="E35" s="6">
        <v>0.10457142857142858</v>
      </c>
      <c r="F35" s="9" t="s">
        <v>248</v>
      </c>
      <c r="G35" s="6">
        <v>9.6666666666666665E-2</v>
      </c>
      <c r="H35" s="9" t="s">
        <v>263</v>
      </c>
      <c r="I35" s="9"/>
      <c r="J35" s="9"/>
      <c r="K35" s="9"/>
      <c r="L35" s="9"/>
      <c r="M35" s="9"/>
      <c r="N35" s="9"/>
      <c r="Y35" s="16"/>
    </row>
    <row r="36" spans="2:26" ht="15" thickBot="1" x14ac:dyDescent="0.4">
      <c r="B36" s="22" t="s">
        <v>81</v>
      </c>
      <c r="C36" s="6">
        <v>0.19500000000000001</v>
      </c>
      <c r="D36" s="9" t="s">
        <v>236</v>
      </c>
      <c r="E36" s="6">
        <v>0.2403529411764706</v>
      </c>
      <c r="F36" s="9" t="s">
        <v>249</v>
      </c>
      <c r="G36" s="6">
        <v>0.28742857142857142</v>
      </c>
      <c r="H36" s="9">
        <v>0.192</v>
      </c>
      <c r="I36" s="9">
        <v>0.2</v>
      </c>
      <c r="J36" s="9"/>
      <c r="K36" s="9"/>
      <c r="L36" s="9"/>
      <c r="M36" s="27"/>
      <c r="N36" s="9"/>
      <c r="Y36" s="16"/>
    </row>
    <row r="37" spans="2:26" ht="15" thickBot="1" x14ac:dyDescent="0.4">
      <c r="B37" s="22" t="s">
        <v>82</v>
      </c>
      <c r="C37" s="6"/>
      <c r="D37" s="9"/>
      <c r="E37" s="6">
        <v>7.5000000000000011E-2</v>
      </c>
      <c r="F37" s="9" t="s">
        <v>250</v>
      </c>
      <c r="G37" s="6"/>
      <c r="H37" s="9"/>
      <c r="I37" s="9"/>
      <c r="J37" s="9"/>
      <c r="K37" s="9"/>
      <c r="L37" s="9"/>
      <c r="M37" s="9"/>
      <c r="N37" s="9"/>
      <c r="Y37" s="16"/>
    </row>
    <row r="38" spans="2:26" ht="15" thickBot="1" x14ac:dyDescent="0.4">
      <c r="B38" s="22" t="s">
        <v>83</v>
      </c>
      <c r="C38" s="6"/>
      <c r="D38" s="9"/>
      <c r="E38" s="6">
        <v>0.2173333333333333</v>
      </c>
      <c r="F38" s="9" t="s">
        <v>251</v>
      </c>
      <c r="G38" s="6">
        <v>0.25359999999999999</v>
      </c>
      <c r="H38" s="9" t="s">
        <v>264</v>
      </c>
      <c r="I38" s="9"/>
      <c r="J38" s="9"/>
      <c r="K38" s="9"/>
      <c r="L38" s="9"/>
      <c r="M38" s="27"/>
      <c r="N38" s="9"/>
      <c r="Y38" s="16"/>
    </row>
    <row r="39" spans="2:26" ht="15" thickBot="1" x14ac:dyDescent="0.4">
      <c r="B39" s="22" t="s">
        <v>84</v>
      </c>
      <c r="C39" s="6">
        <v>6.7799999999999996E-3</v>
      </c>
      <c r="D39" s="9" t="s">
        <v>237</v>
      </c>
      <c r="E39" s="6">
        <v>4.9375000000000002E-2</v>
      </c>
      <c r="F39" s="9" t="s">
        <v>252</v>
      </c>
      <c r="G39" s="6"/>
      <c r="H39" s="9"/>
      <c r="I39" s="9"/>
      <c r="J39" s="9">
        <v>2.6</v>
      </c>
      <c r="K39" s="9"/>
      <c r="L39" s="9"/>
      <c r="M39" s="9"/>
      <c r="N39" s="9"/>
      <c r="Y39" s="16"/>
    </row>
    <row r="40" spans="2:26" x14ac:dyDescent="0.35">
      <c r="B40" s="22" t="s">
        <v>88</v>
      </c>
      <c r="C40" s="6">
        <v>2.9046666666666665</v>
      </c>
      <c r="D40" s="9" t="s">
        <v>238</v>
      </c>
      <c r="E40" s="6">
        <v>2.7244999999999999</v>
      </c>
      <c r="F40" s="9" t="s">
        <v>253</v>
      </c>
      <c r="G40" s="6">
        <v>1.7586666666666666</v>
      </c>
      <c r="H40" s="9" t="s">
        <v>265</v>
      </c>
      <c r="I40" s="9">
        <v>1</v>
      </c>
      <c r="J40" s="9"/>
      <c r="K40" s="9">
        <v>0.88</v>
      </c>
      <c r="L40" s="28">
        <v>2.63</v>
      </c>
      <c r="M40" s="27">
        <v>2.2400000000000002</v>
      </c>
      <c r="N40" s="27">
        <v>1.3</v>
      </c>
      <c r="Y40" s="17"/>
    </row>
    <row r="41" spans="2:26" x14ac:dyDescent="0.35">
      <c r="B41" s="22" t="s">
        <v>85</v>
      </c>
      <c r="C41" s="6">
        <v>3.13</v>
      </c>
      <c r="D41" s="9" t="s">
        <v>239</v>
      </c>
      <c r="E41" s="6">
        <v>3.1440909090909104</v>
      </c>
      <c r="F41" s="9" t="s">
        <v>254</v>
      </c>
      <c r="G41" s="6">
        <v>3.1530769230769229</v>
      </c>
      <c r="H41" s="9" t="s">
        <v>266</v>
      </c>
      <c r="I41" s="9">
        <v>3.21</v>
      </c>
      <c r="J41" s="9">
        <v>3.15</v>
      </c>
      <c r="K41" s="9">
        <v>3.15</v>
      </c>
      <c r="L41" s="9"/>
      <c r="M41" s="28"/>
      <c r="N41" s="9"/>
      <c r="Y41" s="14"/>
      <c r="Z41" s="14"/>
    </row>
  </sheetData>
  <mergeCells count="7">
    <mergeCell ref="B23:N23"/>
    <mergeCell ref="C24:D24"/>
    <mergeCell ref="E24:F24"/>
    <mergeCell ref="G24:H24"/>
    <mergeCell ref="C25:D25"/>
    <mergeCell ref="E25:F25"/>
    <mergeCell ref="G25:H25"/>
  </mergeCells>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0CA0-A802-486E-8F19-8E70479D2A1B}">
  <dimension ref="E2:AB41"/>
  <sheetViews>
    <sheetView topLeftCell="E1" zoomScale="130" zoomScaleNormal="130" workbookViewId="0">
      <selection activeCell="E21" sqref="E21:AB22"/>
    </sheetView>
  </sheetViews>
  <sheetFormatPr defaultRowHeight="14.5" x14ac:dyDescent="0.35"/>
  <cols>
    <col min="5" max="5" width="15.81640625" customWidth="1"/>
    <col min="6" max="6" width="17.08984375" customWidth="1"/>
    <col min="7" max="7" width="16.1796875" customWidth="1"/>
    <col min="9" max="9" width="15.6328125" customWidth="1"/>
    <col min="10" max="10" width="14.1796875" customWidth="1"/>
    <col min="11" max="11" width="14.6328125" customWidth="1"/>
    <col min="12" max="12" width="12.81640625" bestFit="1" customWidth="1"/>
    <col min="23" max="23" width="11.54296875" bestFit="1" customWidth="1"/>
    <col min="25" max="25" width="12.453125" bestFit="1" customWidth="1"/>
  </cols>
  <sheetData>
    <row r="2" spans="5:23" ht="15.5" customHeight="1" x14ac:dyDescent="0.35">
      <c r="E2" s="31"/>
      <c r="F2" s="31" t="s">
        <v>28</v>
      </c>
      <c r="G2" s="31" t="s">
        <v>29</v>
      </c>
    </row>
    <row r="3" spans="5:23" ht="15.5" customHeight="1" x14ac:dyDescent="0.35">
      <c r="E3" s="23" t="s">
        <v>135</v>
      </c>
      <c r="F3" s="23">
        <v>2022</v>
      </c>
      <c r="G3" s="23">
        <v>151</v>
      </c>
      <c r="V3" s="23"/>
      <c r="W3" s="31" t="s">
        <v>28</v>
      </c>
    </row>
    <row r="4" spans="5:23" ht="15.5" customHeight="1" x14ac:dyDescent="0.35">
      <c r="E4" s="8" t="s">
        <v>136</v>
      </c>
      <c r="F4" s="8">
        <v>319</v>
      </c>
      <c r="G4" s="23">
        <v>37</v>
      </c>
      <c r="V4" s="24" t="s">
        <v>276</v>
      </c>
      <c r="W4" s="23">
        <v>56</v>
      </c>
    </row>
    <row r="5" spans="5:23" ht="15.5" customHeight="1" x14ac:dyDescent="0.35">
      <c r="E5" s="8" t="s">
        <v>137</v>
      </c>
      <c r="F5" s="8">
        <v>134</v>
      </c>
      <c r="G5" s="23">
        <v>12</v>
      </c>
      <c r="V5" s="24" t="s">
        <v>144</v>
      </c>
      <c r="W5" s="23">
        <v>1</v>
      </c>
    </row>
    <row r="6" spans="5:23" ht="15.5" customHeight="1" x14ac:dyDescent="0.35">
      <c r="E6" s="8" t="s">
        <v>444</v>
      </c>
      <c r="F6" s="8">
        <v>12</v>
      </c>
      <c r="G6" s="23">
        <v>3</v>
      </c>
      <c r="V6" s="24" t="s">
        <v>145</v>
      </c>
      <c r="W6" s="23">
        <v>6</v>
      </c>
    </row>
    <row r="7" spans="5:23" ht="15.5" customHeight="1" x14ac:dyDescent="0.35">
      <c r="E7" s="24" t="s">
        <v>138</v>
      </c>
      <c r="F7" s="23">
        <v>126</v>
      </c>
      <c r="G7" s="23">
        <v>26</v>
      </c>
      <c r="V7" s="24" t="s">
        <v>277</v>
      </c>
      <c r="W7" s="23">
        <v>95</v>
      </c>
    </row>
    <row r="8" spans="5:23" ht="15.5" customHeight="1" x14ac:dyDescent="0.35">
      <c r="E8" s="24" t="s">
        <v>139</v>
      </c>
      <c r="F8" s="23">
        <v>536</v>
      </c>
      <c r="G8" s="23">
        <v>40</v>
      </c>
    </row>
    <row r="9" spans="5:23" ht="15.5" customHeight="1" x14ac:dyDescent="0.35">
      <c r="E9" s="23" t="s">
        <v>140</v>
      </c>
      <c r="F9" s="23">
        <v>245</v>
      </c>
      <c r="G9" s="23">
        <v>20</v>
      </c>
    </row>
    <row r="10" spans="5:23" ht="15.5" customHeight="1" x14ac:dyDescent="0.35">
      <c r="E10" s="23" t="s">
        <v>141</v>
      </c>
      <c r="F10" s="23">
        <v>35</v>
      </c>
      <c r="G10" s="23">
        <v>8</v>
      </c>
    </row>
    <row r="11" spans="5:23" ht="15.5" customHeight="1" x14ac:dyDescent="0.35">
      <c r="E11" s="24" t="s">
        <v>225</v>
      </c>
      <c r="F11" s="23">
        <v>73</v>
      </c>
      <c r="G11" s="23">
        <v>10</v>
      </c>
    </row>
    <row r="12" spans="5:23" ht="15.5" customHeight="1" x14ac:dyDescent="0.35">
      <c r="E12" s="24" t="s">
        <v>142</v>
      </c>
      <c r="F12" s="23">
        <v>245</v>
      </c>
      <c r="G12" s="23">
        <v>40</v>
      </c>
    </row>
    <row r="13" spans="5:23" ht="15.5" customHeight="1" x14ac:dyDescent="0.35">
      <c r="E13" s="24" t="s">
        <v>143</v>
      </c>
      <c r="F13" s="23">
        <v>27</v>
      </c>
      <c r="G13" s="23">
        <v>6</v>
      </c>
    </row>
    <row r="14" spans="5:23" ht="15.5" customHeight="1" x14ac:dyDescent="0.35">
      <c r="E14" s="24" t="s">
        <v>217</v>
      </c>
      <c r="F14" s="23">
        <v>60</v>
      </c>
      <c r="G14" s="23">
        <v>1</v>
      </c>
    </row>
    <row r="15" spans="5:23" ht="15.5" customHeight="1" x14ac:dyDescent="0.35">
      <c r="E15" s="24" t="s">
        <v>304</v>
      </c>
      <c r="F15" s="23">
        <v>5</v>
      </c>
      <c r="G15" s="23">
        <v>1</v>
      </c>
    </row>
    <row r="16" spans="5:23" ht="15.5" customHeight="1" x14ac:dyDescent="0.35">
      <c r="E16" s="24" t="s">
        <v>305</v>
      </c>
      <c r="F16" s="23">
        <v>15</v>
      </c>
      <c r="G16" s="23">
        <v>1</v>
      </c>
    </row>
    <row r="21" spans="5:28" x14ac:dyDescent="0.35">
      <c r="E21" s="100" t="s">
        <v>473</v>
      </c>
      <c r="F21" s="100"/>
      <c r="G21" s="100"/>
      <c r="H21" s="100"/>
      <c r="I21" s="100"/>
      <c r="J21" s="100"/>
      <c r="K21" s="100"/>
      <c r="L21" s="100"/>
      <c r="M21" s="100"/>
      <c r="N21" s="100"/>
      <c r="O21" s="100"/>
      <c r="P21" s="100"/>
      <c r="Q21" s="100"/>
      <c r="R21" s="100"/>
      <c r="S21" s="100"/>
      <c r="T21" s="100"/>
      <c r="U21" s="100"/>
      <c r="V21" s="100"/>
      <c r="W21" s="100"/>
      <c r="X21" s="100"/>
      <c r="Y21" s="100"/>
      <c r="Z21" s="100"/>
      <c r="AA21" s="100"/>
      <c r="AB21" s="100"/>
    </row>
    <row r="22" spans="5:28" x14ac:dyDescent="0.35">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row>
    <row r="23" spans="5:28" ht="43.5" x14ac:dyDescent="0.35">
      <c r="E23" s="36"/>
      <c r="F23" s="101" t="s">
        <v>135</v>
      </c>
      <c r="G23" s="101"/>
      <c r="H23" s="101" t="s">
        <v>350</v>
      </c>
      <c r="I23" s="101"/>
      <c r="J23" s="101" t="s">
        <v>351</v>
      </c>
      <c r="K23" s="101"/>
      <c r="L23" s="101" t="s">
        <v>223</v>
      </c>
      <c r="M23" s="101"/>
      <c r="N23" s="101" t="s">
        <v>366</v>
      </c>
      <c r="O23" s="101"/>
      <c r="P23" s="101" t="s">
        <v>140</v>
      </c>
      <c r="Q23" s="101"/>
      <c r="R23" s="101" t="s">
        <v>141</v>
      </c>
      <c r="S23" s="101"/>
      <c r="T23" s="101" t="s">
        <v>222</v>
      </c>
      <c r="U23" s="101"/>
      <c r="V23" s="101" t="s">
        <v>224</v>
      </c>
      <c r="W23" s="101"/>
      <c r="X23" s="101" t="s">
        <v>143</v>
      </c>
      <c r="Y23" s="101"/>
      <c r="Z23" s="36" t="s">
        <v>304</v>
      </c>
      <c r="AA23" s="36" t="s">
        <v>217</v>
      </c>
      <c r="AB23" s="6" t="s">
        <v>305</v>
      </c>
    </row>
    <row r="24" spans="5:28" x14ac:dyDescent="0.35">
      <c r="E24" s="36"/>
      <c r="F24" s="36" t="s">
        <v>169</v>
      </c>
      <c r="G24" s="36" t="s">
        <v>177</v>
      </c>
      <c r="H24" s="36" t="s">
        <v>169</v>
      </c>
      <c r="I24" s="36" t="s">
        <v>177</v>
      </c>
      <c r="J24" s="36" t="s">
        <v>169</v>
      </c>
      <c r="K24" s="36" t="s">
        <v>177</v>
      </c>
      <c r="L24" s="36" t="s">
        <v>169</v>
      </c>
      <c r="M24" s="36" t="s">
        <v>177</v>
      </c>
      <c r="N24" s="36" t="s">
        <v>169</v>
      </c>
      <c r="O24" s="36" t="s">
        <v>177</v>
      </c>
      <c r="P24" s="36" t="s">
        <v>169</v>
      </c>
      <c r="Q24" s="36" t="s">
        <v>177</v>
      </c>
      <c r="R24" s="36" t="s">
        <v>169</v>
      </c>
      <c r="S24" s="36" t="s">
        <v>177</v>
      </c>
      <c r="T24" s="36" t="s">
        <v>169</v>
      </c>
      <c r="U24" s="36" t="s">
        <v>177</v>
      </c>
      <c r="V24" s="36" t="s">
        <v>169</v>
      </c>
      <c r="W24" s="36" t="s">
        <v>177</v>
      </c>
      <c r="X24" s="36" t="s">
        <v>169</v>
      </c>
      <c r="Y24" s="36" t="s">
        <v>177</v>
      </c>
      <c r="Z24" s="36"/>
      <c r="AA24" s="36"/>
      <c r="AB24" s="36"/>
    </row>
    <row r="25" spans="5:28" x14ac:dyDescent="0.35">
      <c r="E25" s="6" t="s">
        <v>72</v>
      </c>
      <c r="F25" s="36">
        <v>0.64207570093458</v>
      </c>
      <c r="G25" s="36" t="s">
        <v>306</v>
      </c>
      <c r="H25" s="36">
        <v>24.475000000000001</v>
      </c>
      <c r="I25" s="36" t="s">
        <v>336</v>
      </c>
      <c r="J25" s="36">
        <v>6.3834218749999998</v>
      </c>
      <c r="K25" s="36" t="s">
        <v>321</v>
      </c>
      <c r="L25" s="36">
        <v>66.227133333333327</v>
      </c>
      <c r="M25" s="36" t="s">
        <v>432</v>
      </c>
      <c r="N25" s="36">
        <v>0.56923076923076921</v>
      </c>
      <c r="O25" s="36" t="s">
        <v>352</v>
      </c>
      <c r="P25" s="36">
        <v>9.6869230769230779</v>
      </c>
      <c r="Q25" s="36" t="s">
        <v>367</v>
      </c>
      <c r="R25" s="36">
        <v>1</v>
      </c>
      <c r="S25" s="36" t="s">
        <v>380</v>
      </c>
      <c r="T25" s="36">
        <v>0.49249999999999994</v>
      </c>
      <c r="U25" s="36" t="s">
        <v>392</v>
      </c>
      <c r="V25" s="36">
        <v>37.33151515151517</v>
      </c>
      <c r="W25" s="36" t="s">
        <v>404</v>
      </c>
      <c r="X25" s="36">
        <v>44.142200000000003</v>
      </c>
      <c r="Y25" s="36" t="s">
        <v>419</v>
      </c>
      <c r="Z25" s="36">
        <v>46.73</v>
      </c>
      <c r="AA25" s="36">
        <v>2</v>
      </c>
      <c r="AB25" s="36">
        <v>41.8</v>
      </c>
    </row>
    <row r="26" spans="5:28" x14ac:dyDescent="0.35">
      <c r="E26" s="6" t="s">
        <v>73</v>
      </c>
      <c r="F26" s="36">
        <v>94.543890756302503</v>
      </c>
      <c r="G26" s="36" t="s">
        <v>307</v>
      </c>
      <c r="H26" s="36">
        <v>38.308999999999997</v>
      </c>
      <c r="I26" s="36" t="s">
        <v>337</v>
      </c>
      <c r="J26" s="36">
        <v>51.208950000000009</v>
      </c>
      <c r="K26" s="36" t="s">
        <v>322</v>
      </c>
      <c r="L26" s="36">
        <v>2.1053999999999999</v>
      </c>
      <c r="M26" s="36" t="s">
        <v>433</v>
      </c>
      <c r="N26" s="36">
        <v>98.411111111111111</v>
      </c>
      <c r="O26" s="36" t="s">
        <v>353</v>
      </c>
      <c r="P26" s="36">
        <v>75.236666666666665</v>
      </c>
      <c r="Q26" s="36" t="s">
        <v>368</v>
      </c>
      <c r="R26" s="36">
        <v>89.105000000000004</v>
      </c>
      <c r="S26" s="36" t="s">
        <v>381</v>
      </c>
      <c r="T26" s="36">
        <v>54.123750000000001</v>
      </c>
      <c r="U26" s="36" t="s">
        <v>393</v>
      </c>
      <c r="V26" s="36">
        <v>36.073030303030301</v>
      </c>
      <c r="W26" s="36" t="s">
        <v>405</v>
      </c>
      <c r="X26" s="36">
        <v>15.800599999999999</v>
      </c>
      <c r="Y26" s="36" t="s">
        <v>420</v>
      </c>
      <c r="Z26" s="36">
        <v>42.77</v>
      </c>
      <c r="AA26" s="36">
        <v>27</v>
      </c>
      <c r="AB26" s="6">
        <v>33.1</v>
      </c>
    </row>
    <row r="27" spans="5:28" x14ac:dyDescent="0.35">
      <c r="E27" s="6" t="s">
        <v>74</v>
      </c>
      <c r="F27" s="36">
        <v>0.52713131313131323</v>
      </c>
      <c r="G27" s="36" t="s">
        <v>308</v>
      </c>
      <c r="H27" s="36">
        <v>20.802000000000003</v>
      </c>
      <c r="I27" s="36" t="s">
        <v>338</v>
      </c>
      <c r="J27" s="36">
        <v>28.393429032258055</v>
      </c>
      <c r="K27" s="36" t="s">
        <v>323</v>
      </c>
      <c r="L27" s="36">
        <v>0.66715384615384632</v>
      </c>
      <c r="M27" s="36" t="s">
        <v>434</v>
      </c>
      <c r="N27" s="36">
        <v>0.29307692307692312</v>
      </c>
      <c r="O27" s="36" t="s">
        <v>354</v>
      </c>
      <c r="P27" s="36">
        <v>1.916923076923077</v>
      </c>
      <c r="Q27" s="36" t="s">
        <v>369</v>
      </c>
      <c r="R27" s="36">
        <v>0.34399999999999997</v>
      </c>
      <c r="S27" s="36" t="s">
        <v>382</v>
      </c>
      <c r="T27" s="36">
        <v>40.636250000000004</v>
      </c>
      <c r="U27" s="36" t="s">
        <v>394</v>
      </c>
      <c r="V27" s="36">
        <v>12.140303030303031</v>
      </c>
      <c r="W27" s="36" t="s">
        <v>406</v>
      </c>
      <c r="X27" s="36">
        <v>4.1314000000000002</v>
      </c>
      <c r="Y27" s="36" t="s">
        <v>421</v>
      </c>
      <c r="Z27" s="36">
        <v>3.34</v>
      </c>
      <c r="AA27" s="36">
        <v>3</v>
      </c>
      <c r="AB27" s="6">
        <v>13.7</v>
      </c>
    </row>
    <row r="28" spans="5:28" x14ac:dyDescent="0.35">
      <c r="E28" s="6" t="s">
        <v>75</v>
      </c>
      <c r="F28" s="36">
        <v>0.69397142857142846</v>
      </c>
      <c r="G28" s="36" t="s">
        <v>309</v>
      </c>
      <c r="H28" s="36">
        <v>6.8819999999999997</v>
      </c>
      <c r="I28" s="36" t="s">
        <v>339</v>
      </c>
      <c r="J28" s="36">
        <v>6.5068387096774201</v>
      </c>
      <c r="K28" s="36" t="s">
        <v>324</v>
      </c>
      <c r="L28" s="36">
        <v>0.68057142857142849</v>
      </c>
      <c r="M28" s="36" t="s">
        <v>435</v>
      </c>
      <c r="N28" s="36">
        <v>0.12846153846153846</v>
      </c>
      <c r="O28" s="36" t="s">
        <v>355</v>
      </c>
      <c r="P28" s="36">
        <v>0.70046153846153836</v>
      </c>
      <c r="Q28" s="36" t="s">
        <v>370</v>
      </c>
      <c r="R28" s="36">
        <v>0.33999999999999997</v>
      </c>
      <c r="S28" s="36" t="s">
        <v>383</v>
      </c>
      <c r="T28" s="36">
        <v>1.2425000000000002</v>
      </c>
      <c r="U28" s="36" t="s">
        <v>395</v>
      </c>
      <c r="V28" s="36">
        <v>2.1951515151515144</v>
      </c>
      <c r="W28" s="36" t="s">
        <v>407</v>
      </c>
      <c r="X28" s="36">
        <v>20.732199999999999</v>
      </c>
      <c r="Y28" s="36" t="s">
        <v>422</v>
      </c>
      <c r="Z28" s="36">
        <v>0.51</v>
      </c>
      <c r="AA28" s="36">
        <v>57</v>
      </c>
      <c r="AB28" s="36">
        <v>0.7</v>
      </c>
    </row>
    <row r="29" spans="5:28" x14ac:dyDescent="0.35">
      <c r="E29" s="6" t="s">
        <v>76</v>
      </c>
      <c r="F29" s="36">
        <v>0.84975609756097603</v>
      </c>
      <c r="G29" s="36" t="s">
        <v>310</v>
      </c>
      <c r="H29" s="36">
        <v>1.07</v>
      </c>
      <c r="I29" s="36" t="s">
        <v>340</v>
      </c>
      <c r="J29" s="36">
        <v>1.4523833333333334</v>
      </c>
      <c r="K29" s="36" t="s">
        <v>325</v>
      </c>
      <c r="L29" s="36">
        <v>0.9725454545454546</v>
      </c>
      <c r="M29" s="36" t="s">
        <v>436</v>
      </c>
      <c r="N29" s="36">
        <v>1.4359090909090908</v>
      </c>
      <c r="O29" s="36" t="s">
        <v>356</v>
      </c>
      <c r="P29" s="36">
        <v>1.379</v>
      </c>
      <c r="Q29" s="36" t="s">
        <v>371</v>
      </c>
      <c r="R29" s="36">
        <v>3.4980000000000002</v>
      </c>
      <c r="S29" s="36" t="s">
        <v>384</v>
      </c>
      <c r="T29" s="36">
        <v>0.62375000000000003</v>
      </c>
      <c r="U29" s="36" t="s">
        <v>396</v>
      </c>
      <c r="V29" s="36">
        <v>0.95454545454545459</v>
      </c>
      <c r="W29" s="36" t="s">
        <v>408</v>
      </c>
      <c r="X29" s="36">
        <v>0.06</v>
      </c>
      <c r="Y29" s="36" t="s">
        <v>423</v>
      </c>
      <c r="Z29" s="36">
        <v>0.64</v>
      </c>
      <c r="AA29" s="36">
        <v>0.19</v>
      </c>
      <c r="AB29" s="36">
        <v>0.5</v>
      </c>
    </row>
    <row r="30" spans="5:28" x14ac:dyDescent="0.35">
      <c r="E30" s="6" t="s">
        <v>77</v>
      </c>
      <c r="F30" s="36">
        <v>0.32869135802469146</v>
      </c>
      <c r="G30" s="36" t="s">
        <v>311</v>
      </c>
      <c r="H30" s="36">
        <v>2.2266666666666666</v>
      </c>
      <c r="I30" s="36" t="s">
        <v>341</v>
      </c>
      <c r="J30" s="36">
        <v>0.90602916666666677</v>
      </c>
      <c r="K30" s="36" t="s">
        <v>326</v>
      </c>
      <c r="L30" s="36">
        <v>0.18063636363636365</v>
      </c>
      <c r="M30" s="36" t="s">
        <v>437</v>
      </c>
      <c r="N30" s="36">
        <v>0.15337499999999998</v>
      </c>
      <c r="O30" s="36" t="s">
        <v>357</v>
      </c>
      <c r="P30" s="36">
        <v>12.932999999999998</v>
      </c>
      <c r="Q30" s="36" t="s">
        <v>372</v>
      </c>
      <c r="R30" s="36">
        <v>0.09</v>
      </c>
      <c r="S30" s="36" t="s">
        <v>385</v>
      </c>
      <c r="T30" s="36">
        <v>0.39000000000000007</v>
      </c>
      <c r="U30" s="36" t="s">
        <v>397</v>
      </c>
      <c r="V30" s="36">
        <v>0.26954545454545459</v>
      </c>
      <c r="W30" s="36" t="s">
        <v>409</v>
      </c>
      <c r="X30" s="36">
        <v>0.26449999999999996</v>
      </c>
      <c r="Y30" s="36" t="s">
        <v>424</v>
      </c>
      <c r="Z30" s="36">
        <v>0.25</v>
      </c>
      <c r="AA30" s="36">
        <v>0.2</v>
      </c>
      <c r="AB30" s="36">
        <v>0.2</v>
      </c>
    </row>
    <row r="31" spans="5:28" x14ac:dyDescent="0.35">
      <c r="E31" s="6" t="s">
        <v>78</v>
      </c>
      <c r="F31" s="36">
        <v>0.36932307692307675</v>
      </c>
      <c r="G31" s="36" t="s">
        <v>312</v>
      </c>
      <c r="H31" s="36">
        <v>1.29</v>
      </c>
      <c r="I31" s="36" t="s">
        <v>342</v>
      </c>
      <c r="J31" s="36">
        <v>1.1846296296296299</v>
      </c>
      <c r="K31" s="36" t="s">
        <v>327</v>
      </c>
      <c r="L31" s="36">
        <v>0.11333333333333334</v>
      </c>
      <c r="M31" s="36" t="s">
        <v>438</v>
      </c>
      <c r="N31" s="36">
        <v>0.45</v>
      </c>
      <c r="O31" s="36" t="s">
        <v>358</v>
      </c>
      <c r="P31" s="36">
        <v>0.13999999999999999</v>
      </c>
      <c r="Q31" s="36" t="s">
        <v>373</v>
      </c>
      <c r="R31" s="36">
        <v>0.42</v>
      </c>
      <c r="S31" s="36" t="s">
        <v>386</v>
      </c>
      <c r="T31" s="36">
        <v>9.5714285714285724E-2</v>
      </c>
      <c r="U31" s="36" t="s">
        <v>398</v>
      </c>
      <c r="V31" s="36">
        <v>1.4389285714285713</v>
      </c>
      <c r="W31" s="36" t="s">
        <v>410</v>
      </c>
      <c r="X31" s="36">
        <v>0.34399999999999997</v>
      </c>
      <c r="Y31" s="36" t="s">
        <v>425</v>
      </c>
      <c r="Z31" s="36">
        <v>0.6</v>
      </c>
      <c r="AA31" s="36"/>
      <c r="AB31" s="36">
        <v>0.7</v>
      </c>
    </row>
    <row r="32" spans="5:28" x14ac:dyDescent="0.35">
      <c r="E32" s="6" t="s">
        <v>79</v>
      </c>
      <c r="F32" s="36">
        <v>0.61180300000000032</v>
      </c>
      <c r="G32" s="36" t="s">
        <v>313</v>
      </c>
      <c r="H32" s="36">
        <v>2.7890000000000006</v>
      </c>
      <c r="I32" s="36" t="s">
        <v>343</v>
      </c>
      <c r="J32" s="36">
        <v>1.4075225806451614</v>
      </c>
      <c r="K32" s="36" t="s">
        <v>328</v>
      </c>
      <c r="L32" s="36">
        <v>1.1967333333333334</v>
      </c>
      <c r="M32" s="36" t="s">
        <v>439</v>
      </c>
      <c r="N32" s="36">
        <v>0.15518181818181817</v>
      </c>
      <c r="O32" s="36" t="s">
        <v>359</v>
      </c>
      <c r="P32" s="36">
        <v>1.6208333333333333</v>
      </c>
      <c r="Q32" s="36" t="s">
        <v>374</v>
      </c>
      <c r="R32" s="36">
        <v>0.60799999999999998</v>
      </c>
      <c r="S32" s="36" t="s">
        <v>387</v>
      </c>
      <c r="T32" s="36">
        <v>0.59142857142857141</v>
      </c>
      <c r="U32" s="36" t="s">
        <v>399</v>
      </c>
      <c r="V32" s="36">
        <v>7.7099999999999982</v>
      </c>
      <c r="W32" s="36" t="s">
        <v>411</v>
      </c>
      <c r="X32" s="36">
        <v>5.1975999999999996</v>
      </c>
      <c r="Y32" s="36" t="s">
        <v>426</v>
      </c>
      <c r="Z32" s="36">
        <v>2.27</v>
      </c>
      <c r="AA32" s="36">
        <v>0.28999999999999998</v>
      </c>
      <c r="AB32" s="36">
        <v>4.9000000000000004</v>
      </c>
    </row>
    <row r="33" spans="5:28" x14ac:dyDescent="0.35">
      <c r="E33" s="6" t="s">
        <v>80</v>
      </c>
      <c r="F33" s="36">
        <v>0.10650000000000001</v>
      </c>
      <c r="G33" s="36" t="s">
        <v>314</v>
      </c>
      <c r="H33" s="36">
        <v>0.25</v>
      </c>
      <c r="I33" s="36" t="s">
        <v>344</v>
      </c>
      <c r="J33" s="36">
        <v>4.5924999999999994E-2</v>
      </c>
      <c r="K33" s="36" t="s">
        <v>329</v>
      </c>
      <c r="L33" s="36"/>
      <c r="M33" s="36"/>
      <c r="N33" s="36">
        <v>3.6666666666666666E-3</v>
      </c>
      <c r="O33" s="36" t="s">
        <v>360</v>
      </c>
      <c r="P33" s="36">
        <v>5.000000000000001E-2</v>
      </c>
      <c r="Q33" s="36" t="s">
        <v>250</v>
      </c>
      <c r="R33" s="36">
        <v>0.49</v>
      </c>
      <c r="S33" s="36" t="s">
        <v>388</v>
      </c>
      <c r="T33" s="36"/>
      <c r="U33" s="36"/>
      <c r="V33" s="36">
        <v>0.4</v>
      </c>
      <c r="W33" s="36" t="s">
        <v>412</v>
      </c>
      <c r="X33" s="36"/>
      <c r="Y33" s="36"/>
      <c r="Z33" s="36"/>
      <c r="AA33" s="36"/>
      <c r="AB33" s="36"/>
    </row>
    <row r="34" spans="5:28" x14ac:dyDescent="0.35">
      <c r="E34" s="6" t="s">
        <v>81</v>
      </c>
      <c r="F34" s="36">
        <v>5.9076923076923075E-2</v>
      </c>
      <c r="G34" s="36" t="s">
        <v>315</v>
      </c>
      <c r="H34" s="36">
        <v>1.45</v>
      </c>
      <c r="I34" s="36" t="s">
        <v>345</v>
      </c>
      <c r="J34" s="36">
        <v>1.0393874999999999</v>
      </c>
      <c r="K34" s="36" t="s">
        <v>330</v>
      </c>
      <c r="L34" s="36">
        <v>0.06</v>
      </c>
      <c r="M34" s="36" t="s">
        <v>423</v>
      </c>
      <c r="N34" s="36">
        <v>0.10185714285714285</v>
      </c>
      <c r="O34" s="36" t="s">
        <v>361</v>
      </c>
      <c r="P34" s="36">
        <v>4.6666666666666662E-2</v>
      </c>
      <c r="Q34" s="36" t="s">
        <v>375</v>
      </c>
      <c r="R34" s="36"/>
      <c r="S34" s="36"/>
      <c r="T34" s="36">
        <v>1.5</v>
      </c>
      <c r="U34" s="36" t="s">
        <v>400</v>
      </c>
      <c r="V34" s="36">
        <v>0.66666666666666663</v>
      </c>
      <c r="W34" s="36" t="s">
        <v>413</v>
      </c>
      <c r="X34" s="36">
        <v>3.5265</v>
      </c>
      <c r="Y34" s="36" t="s">
        <v>427</v>
      </c>
      <c r="Z34" s="36"/>
      <c r="AA34" s="36"/>
      <c r="AB34" s="36"/>
    </row>
    <row r="35" spans="5:28" x14ac:dyDescent="0.35">
      <c r="E35" s="6" t="s">
        <v>82</v>
      </c>
      <c r="F35" s="36">
        <v>0.38333333333333336</v>
      </c>
      <c r="G35" s="36" t="s">
        <v>316</v>
      </c>
      <c r="H35" s="36"/>
      <c r="I35" s="36"/>
      <c r="J35" s="36">
        <v>0.47333333333333338</v>
      </c>
      <c r="K35" s="36" t="s">
        <v>331</v>
      </c>
      <c r="L35" s="36">
        <v>1.2548333333333332</v>
      </c>
      <c r="M35" s="36" t="s">
        <v>440</v>
      </c>
      <c r="N35" s="36">
        <v>0.25</v>
      </c>
      <c r="O35" s="36" t="s">
        <v>344</v>
      </c>
      <c r="P35" s="36"/>
      <c r="Q35" s="36"/>
      <c r="R35" s="36"/>
      <c r="S35" s="36"/>
      <c r="T35" s="36"/>
      <c r="U35" s="36"/>
      <c r="V35" s="36">
        <v>0.02</v>
      </c>
      <c r="W35" s="36" t="s">
        <v>414</v>
      </c>
      <c r="X35" s="36">
        <v>1.042</v>
      </c>
      <c r="Y35" s="36" t="s">
        <v>428</v>
      </c>
      <c r="Z35" s="36">
        <v>0.14000000000000001</v>
      </c>
      <c r="AA35" s="36"/>
      <c r="AB35" s="36"/>
    </row>
    <row r="36" spans="5:28" x14ac:dyDescent="0.35">
      <c r="E36" s="6" t="s">
        <v>83</v>
      </c>
      <c r="F36" s="36">
        <v>0.17990476190476193</v>
      </c>
      <c r="G36" s="36" t="s">
        <v>317</v>
      </c>
      <c r="H36" s="36">
        <v>1.1499999999999999</v>
      </c>
      <c r="I36" s="36" t="s">
        <v>346</v>
      </c>
      <c r="J36" s="36">
        <v>0.34423333333333339</v>
      </c>
      <c r="K36" s="36" t="s">
        <v>332</v>
      </c>
      <c r="L36" s="36">
        <v>0.16066666666666665</v>
      </c>
      <c r="M36" s="36" t="s">
        <v>441</v>
      </c>
      <c r="N36" s="36">
        <v>0.54433333333333334</v>
      </c>
      <c r="O36" s="36" t="s">
        <v>362</v>
      </c>
      <c r="P36" s="36">
        <v>0.01</v>
      </c>
      <c r="Q36" s="36" t="s">
        <v>377</v>
      </c>
      <c r="R36" s="36">
        <v>0.75</v>
      </c>
      <c r="S36" s="36" t="s">
        <v>389</v>
      </c>
      <c r="T36" s="36">
        <v>0.61</v>
      </c>
      <c r="U36" s="36" t="s">
        <v>401</v>
      </c>
      <c r="V36" s="36">
        <v>0.06</v>
      </c>
      <c r="W36" s="36" t="s">
        <v>415</v>
      </c>
      <c r="X36" s="36" t="e">
        <v>#DIV/0!</v>
      </c>
      <c r="Y36" s="36" t="s">
        <v>376</v>
      </c>
      <c r="Z36" s="36"/>
      <c r="AA36" s="36"/>
      <c r="AB36" s="36"/>
    </row>
    <row r="37" spans="5:28" x14ac:dyDescent="0.35">
      <c r="E37" s="6" t="s">
        <v>84</v>
      </c>
      <c r="F37" s="36">
        <v>0.90425833333333328</v>
      </c>
      <c r="G37" s="36" t="s">
        <v>318</v>
      </c>
      <c r="H37" s="36">
        <v>0.55000000000000004</v>
      </c>
      <c r="I37" s="36" t="s">
        <v>347</v>
      </c>
      <c r="J37" s="36">
        <v>1.83E-2</v>
      </c>
      <c r="K37" s="36" t="s">
        <v>333</v>
      </c>
      <c r="L37" s="36">
        <v>0.12325</v>
      </c>
      <c r="M37" s="36" t="s">
        <v>441</v>
      </c>
      <c r="N37" s="36">
        <v>0.13</v>
      </c>
      <c r="O37" s="36" t="s">
        <v>363</v>
      </c>
      <c r="P37" s="36">
        <v>0.46250000000000002</v>
      </c>
      <c r="Q37" s="36" t="s">
        <v>378</v>
      </c>
      <c r="R37" s="36"/>
      <c r="S37" s="36"/>
      <c r="T37" s="36"/>
      <c r="U37" s="36"/>
      <c r="V37" s="36">
        <v>2.76</v>
      </c>
      <c r="W37" s="36" t="s">
        <v>416</v>
      </c>
      <c r="X37" s="36">
        <v>1.63</v>
      </c>
      <c r="Y37" s="36" t="s">
        <v>429</v>
      </c>
      <c r="Z37" s="36">
        <v>1.81</v>
      </c>
      <c r="AA37" s="36"/>
      <c r="AB37" s="36"/>
    </row>
    <row r="38" spans="5:28" x14ac:dyDescent="0.35">
      <c r="E38" s="6" t="s">
        <v>88</v>
      </c>
      <c r="F38" s="36">
        <v>1.7972600000000003</v>
      </c>
      <c r="G38" s="36" t="s">
        <v>319</v>
      </c>
      <c r="H38" s="36">
        <v>1.7000000000000002</v>
      </c>
      <c r="I38" s="36" t="s">
        <v>348</v>
      </c>
      <c r="J38" s="36">
        <v>2.2304999999999997</v>
      </c>
      <c r="K38" s="36" t="s">
        <v>334</v>
      </c>
      <c r="L38" s="36">
        <v>36.669555555555554</v>
      </c>
      <c r="M38" s="36" t="s">
        <v>442</v>
      </c>
      <c r="N38" s="36">
        <v>0.73500000000000021</v>
      </c>
      <c r="O38" s="36" t="s">
        <v>364</v>
      </c>
      <c r="P38" s="36">
        <v>2.698</v>
      </c>
      <c r="Q38" s="36" t="s">
        <v>379</v>
      </c>
      <c r="R38" s="36">
        <v>3.1875</v>
      </c>
      <c r="S38" s="36" t="s">
        <v>390</v>
      </c>
      <c r="T38" s="36">
        <v>1.1299999999999999</v>
      </c>
      <c r="U38" s="36" t="s">
        <v>402</v>
      </c>
      <c r="V38" s="36">
        <v>1.3019999999999998</v>
      </c>
      <c r="W38" s="36" t="s">
        <v>417</v>
      </c>
      <c r="X38" s="36">
        <v>8.59</v>
      </c>
      <c r="Y38" s="36" t="s">
        <v>430</v>
      </c>
      <c r="Z38" s="36"/>
      <c r="AA38" s="36"/>
      <c r="AB38" s="36"/>
    </row>
    <row r="39" spans="5:28" x14ac:dyDescent="0.35">
      <c r="E39" s="6" t="s">
        <v>89</v>
      </c>
      <c r="F39" s="36">
        <v>2.2302444444444443</v>
      </c>
      <c r="G39" s="36" t="s">
        <v>320</v>
      </c>
      <c r="H39" s="36">
        <v>2.6700000000000004</v>
      </c>
      <c r="I39" s="36" t="s">
        <v>349</v>
      </c>
      <c r="J39" s="36">
        <v>2.4833555555555553</v>
      </c>
      <c r="K39" s="36" t="s">
        <v>335</v>
      </c>
      <c r="L39" s="36">
        <v>2.67</v>
      </c>
      <c r="M39" s="36" t="s">
        <v>443</v>
      </c>
      <c r="N39" s="36">
        <v>2.6871428571428568</v>
      </c>
      <c r="O39" s="36" t="s">
        <v>365</v>
      </c>
      <c r="P39" s="36"/>
      <c r="Q39" s="36"/>
      <c r="R39" s="36">
        <v>2.19</v>
      </c>
      <c r="S39" s="36" t="s">
        <v>391</v>
      </c>
      <c r="T39" s="36">
        <v>2.5499999999999998</v>
      </c>
      <c r="U39" s="36" t="s">
        <v>403</v>
      </c>
      <c r="V39" s="36">
        <v>2.8863636363636362</v>
      </c>
      <c r="W39" s="36" t="s">
        <v>418</v>
      </c>
      <c r="X39" s="36">
        <v>3.15</v>
      </c>
      <c r="Y39" s="36" t="s">
        <v>431</v>
      </c>
      <c r="Z39" s="36"/>
      <c r="AA39" s="36"/>
      <c r="AB39" s="36"/>
    </row>
    <row r="40" spans="5:28" ht="15" thickBot="1" x14ac:dyDescent="0.4">
      <c r="X40" s="37"/>
      <c r="AB40" s="37"/>
    </row>
    <row r="41" spans="5:28" ht="15" thickBot="1" x14ac:dyDescent="0.4">
      <c r="X41" s="11"/>
      <c r="AB41" s="11"/>
    </row>
  </sheetData>
  <mergeCells count="11">
    <mergeCell ref="E21:AB22"/>
    <mergeCell ref="P23:Q23"/>
    <mergeCell ref="R23:S23"/>
    <mergeCell ref="T23:U23"/>
    <mergeCell ref="V23:W23"/>
    <mergeCell ref="X23:Y23"/>
    <mergeCell ref="F23:G23"/>
    <mergeCell ref="H23:I23"/>
    <mergeCell ref="J23:K23"/>
    <mergeCell ref="N23:O23"/>
    <mergeCell ref="L23:M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2B8D-CB45-48F0-8E6E-3F18374F77C9}">
  <dimension ref="E3:AP77"/>
  <sheetViews>
    <sheetView zoomScale="85" zoomScaleNormal="85" workbookViewId="0">
      <selection activeCell="H37" sqref="H37"/>
    </sheetView>
  </sheetViews>
  <sheetFormatPr defaultRowHeight="14.5" x14ac:dyDescent="0.35"/>
  <cols>
    <col min="2" max="2" width="9.81640625" bestFit="1" customWidth="1"/>
    <col min="3" max="3" width="16.453125" bestFit="1" customWidth="1"/>
    <col min="5" max="5" width="17.1796875" customWidth="1"/>
    <col min="6" max="6" width="13.90625" customWidth="1"/>
    <col min="7" max="7" width="40.1796875" bestFit="1" customWidth="1"/>
    <col min="8" max="8" width="26.1796875" customWidth="1"/>
    <col min="9" max="9" width="14.453125" customWidth="1"/>
  </cols>
  <sheetData>
    <row r="3" spans="5:9" ht="21" x14ac:dyDescent="0.5">
      <c r="F3" s="102" t="s">
        <v>471</v>
      </c>
      <c r="G3" s="102"/>
      <c r="H3" s="102"/>
      <c r="I3" s="102"/>
    </row>
    <row r="4" spans="5:9" x14ac:dyDescent="0.35">
      <c r="F4" s="99" t="s">
        <v>52</v>
      </c>
      <c r="G4" s="99"/>
      <c r="H4" s="9" t="s">
        <v>53</v>
      </c>
      <c r="I4" s="8" t="s">
        <v>56</v>
      </c>
    </row>
    <row r="5" spans="5:9" x14ac:dyDescent="0.35">
      <c r="F5" s="105" t="s">
        <v>40</v>
      </c>
      <c r="G5" s="105"/>
      <c r="H5" s="9">
        <v>683</v>
      </c>
      <c r="I5" s="8">
        <f t="shared" ref="I5:I25" si="0">H5/H$26*100</f>
        <v>32.201791607732197</v>
      </c>
    </row>
    <row r="6" spans="5:9" x14ac:dyDescent="0.35">
      <c r="F6" s="105" t="s">
        <v>50</v>
      </c>
      <c r="G6" s="105"/>
      <c r="H6" s="9">
        <v>569</v>
      </c>
      <c r="I6" s="8">
        <f t="shared" si="0"/>
        <v>26.826968411126828</v>
      </c>
    </row>
    <row r="7" spans="5:9" x14ac:dyDescent="0.35">
      <c r="F7" s="105" t="s">
        <v>49</v>
      </c>
      <c r="G7" s="105"/>
      <c r="H7" s="9">
        <v>370</v>
      </c>
      <c r="I7" s="8">
        <f t="shared" si="0"/>
        <v>17.444601603017446</v>
      </c>
    </row>
    <row r="8" spans="5:9" ht="14.65" customHeight="1" x14ac:dyDescent="0.35">
      <c r="F8" s="105" t="s">
        <v>46</v>
      </c>
      <c r="G8" s="105"/>
      <c r="H8" s="9">
        <v>293</v>
      </c>
      <c r="I8" s="8">
        <f t="shared" si="0"/>
        <v>13.814238566713813</v>
      </c>
    </row>
    <row r="9" spans="5:9" x14ac:dyDescent="0.35">
      <c r="F9" s="99" t="s">
        <v>54</v>
      </c>
      <c r="G9" s="6" t="s">
        <v>43</v>
      </c>
      <c r="H9" s="9">
        <v>2</v>
      </c>
      <c r="I9" s="8">
        <f t="shared" si="0"/>
        <v>9.4295143800094294E-2</v>
      </c>
    </row>
    <row r="10" spans="5:9" x14ac:dyDescent="0.35">
      <c r="F10" s="99"/>
      <c r="G10" s="6" t="s">
        <v>44</v>
      </c>
      <c r="H10" s="9">
        <v>13</v>
      </c>
      <c r="I10" s="8">
        <f t="shared" si="0"/>
        <v>0.61291843470061291</v>
      </c>
    </row>
    <row r="11" spans="5:9" x14ac:dyDescent="0.35">
      <c r="F11" s="99"/>
      <c r="G11" s="6" t="s">
        <v>31</v>
      </c>
      <c r="H11" s="9">
        <v>13</v>
      </c>
      <c r="I11" s="8">
        <f t="shared" si="0"/>
        <v>0.61291843470061291</v>
      </c>
    </row>
    <row r="12" spans="5:9" x14ac:dyDescent="0.35">
      <c r="F12" s="99"/>
      <c r="G12" s="6" t="s">
        <v>32</v>
      </c>
      <c r="H12" s="9">
        <v>12</v>
      </c>
      <c r="I12" s="8">
        <f t="shared" si="0"/>
        <v>0.56577086280056577</v>
      </c>
    </row>
    <row r="13" spans="5:9" x14ac:dyDescent="0.35">
      <c r="E13" s="1"/>
      <c r="F13" s="99"/>
      <c r="G13" s="32" t="s">
        <v>33</v>
      </c>
      <c r="H13" s="9">
        <v>7</v>
      </c>
      <c r="I13" s="8">
        <f t="shared" si="0"/>
        <v>0.33003300330033003</v>
      </c>
    </row>
    <row r="14" spans="5:9" x14ac:dyDescent="0.35">
      <c r="E14" s="1"/>
      <c r="F14" s="99"/>
      <c r="G14" s="32" t="s">
        <v>34</v>
      </c>
      <c r="H14" s="9">
        <v>10</v>
      </c>
      <c r="I14" s="8">
        <f t="shared" si="0"/>
        <v>0.47147571900047153</v>
      </c>
    </row>
    <row r="15" spans="5:9" x14ac:dyDescent="0.35">
      <c r="E15" s="1"/>
      <c r="F15" s="99"/>
      <c r="G15" s="6" t="s">
        <v>45</v>
      </c>
      <c r="H15" s="9">
        <v>58</v>
      </c>
      <c r="I15" s="8">
        <f t="shared" si="0"/>
        <v>2.7345591702027345</v>
      </c>
    </row>
    <row r="16" spans="5:9" x14ac:dyDescent="0.35">
      <c r="E16" s="2"/>
      <c r="F16" s="99"/>
      <c r="G16" s="6" t="s">
        <v>36</v>
      </c>
      <c r="H16" s="9">
        <v>12</v>
      </c>
      <c r="I16" s="8">
        <f t="shared" si="0"/>
        <v>0.56577086280056577</v>
      </c>
    </row>
    <row r="17" spans="5:15" x14ac:dyDescent="0.35">
      <c r="E17" s="2"/>
      <c r="F17" s="99"/>
      <c r="G17" s="6" t="s">
        <v>47</v>
      </c>
      <c r="H17" s="9">
        <v>6</v>
      </c>
      <c r="I17" s="8">
        <f t="shared" si="0"/>
        <v>0.28288543140028288</v>
      </c>
    </row>
    <row r="18" spans="5:15" x14ac:dyDescent="0.35">
      <c r="E18" s="1"/>
      <c r="F18" s="99"/>
      <c r="G18" s="32" t="s">
        <v>41</v>
      </c>
      <c r="H18" s="9">
        <v>3</v>
      </c>
      <c r="I18" s="8">
        <f t="shared" si="0"/>
        <v>0.14144271570014144</v>
      </c>
    </row>
    <row r="19" spans="5:15" ht="29" customHeight="1" x14ac:dyDescent="0.35">
      <c r="E19" s="1"/>
      <c r="F19" s="99"/>
      <c r="G19" s="6" t="s">
        <v>42</v>
      </c>
      <c r="H19" s="9">
        <v>1</v>
      </c>
      <c r="I19" s="8">
        <f t="shared" si="0"/>
        <v>4.7147571900047147E-2</v>
      </c>
      <c r="O19" s="1"/>
    </row>
    <row r="20" spans="5:15" ht="29" customHeight="1" x14ac:dyDescent="0.35">
      <c r="E20" s="1"/>
      <c r="F20" s="99" t="s">
        <v>57</v>
      </c>
      <c r="G20" s="6" t="s">
        <v>63</v>
      </c>
      <c r="H20" s="9">
        <v>6</v>
      </c>
      <c r="I20" s="8">
        <f t="shared" si="0"/>
        <v>0.28288543140028288</v>
      </c>
      <c r="O20" s="1"/>
    </row>
    <row r="21" spans="5:15" ht="43.5" customHeight="1" x14ac:dyDescent="0.35">
      <c r="E21" s="1"/>
      <c r="F21" s="99"/>
      <c r="G21" s="6" t="s">
        <v>39</v>
      </c>
      <c r="H21" s="9">
        <v>26</v>
      </c>
      <c r="I21" s="8">
        <f t="shared" si="0"/>
        <v>1.2258368694012258</v>
      </c>
    </row>
    <row r="22" spans="5:15" ht="43.5" customHeight="1" x14ac:dyDescent="0.35">
      <c r="E22" s="1"/>
      <c r="F22" s="99"/>
      <c r="G22" s="6" t="s">
        <v>48</v>
      </c>
      <c r="H22" s="9">
        <v>10</v>
      </c>
      <c r="I22" s="8">
        <f t="shared" si="0"/>
        <v>0.47147571900047153</v>
      </c>
    </row>
    <row r="23" spans="5:15" x14ac:dyDescent="0.35">
      <c r="E23" s="1"/>
      <c r="F23" s="99"/>
      <c r="G23" s="6" t="s">
        <v>51</v>
      </c>
      <c r="H23" s="9">
        <v>11</v>
      </c>
      <c r="I23" s="8">
        <f t="shared" si="0"/>
        <v>0.51862329090051862</v>
      </c>
    </row>
    <row r="24" spans="5:15" x14ac:dyDescent="0.35">
      <c r="E24" s="1"/>
      <c r="F24" s="99"/>
      <c r="G24" s="6" t="s">
        <v>37</v>
      </c>
      <c r="H24" s="9">
        <v>8</v>
      </c>
      <c r="I24" s="8">
        <f t="shared" si="0"/>
        <v>0.37718057520037718</v>
      </c>
    </row>
    <row r="25" spans="5:15" ht="29" x14ac:dyDescent="0.35">
      <c r="E25" s="3"/>
      <c r="F25" s="99"/>
      <c r="G25" s="6" t="s">
        <v>38</v>
      </c>
      <c r="H25" s="9">
        <v>8</v>
      </c>
      <c r="I25" s="8">
        <f t="shared" si="0"/>
        <v>0.37718057520037718</v>
      </c>
      <c r="O25" s="1"/>
    </row>
    <row r="26" spans="5:15" x14ac:dyDescent="0.35">
      <c r="E26" s="1"/>
      <c r="F26" s="8"/>
      <c r="G26" s="6" t="s">
        <v>55</v>
      </c>
      <c r="H26" s="9">
        <f>SUM(H5:H25)</f>
        <v>2121</v>
      </c>
      <c r="I26" s="8"/>
    </row>
    <row r="27" spans="5:15" x14ac:dyDescent="0.35">
      <c r="E27" s="1"/>
      <c r="O27" s="1"/>
    </row>
    <row r="28" spans="5:15" x14ac:dyDescent="0.35">
      <c r="E28" s="1"/>
    </row>
    <row r="29" spans="5:15" x14ac:dyDescent="0.35">
      <c r="E29" s="4"/>
    </row>
    <row r="30" spans="5:15" x14ac:dyDescent="0.35">
      <c r="E30" s="1"/>
    </row>
    <row r="31" spans="5:15" x14ac:dyDescent="0.35">
      <c r="E31" s="1"/>
    </row>
    <row r="32" spans="5:15" x14ac:dyDescent="0.35">
      <c r="E32" s="1"/>
    </row>
    <row r="33" spans="5:42" x14ac:dyDescent="0.35">
      <c r="E33" s="2"/>
    </row>
    <row r="34" spans="5:42" x14ac:dyDescent="0.35">
      <c r="E34" s="5"/>
      <c r="P34" s="10"/>
      <c r="Q34" s="10"/>
      <c r="R34" s="10"/>
      <c r="S34" s="10"/>
      <c r="T34" s="10"/>
      <c r="U34" s="10"/>
      <c r="V34" s="10"/>
      <c r="Y34" s="10"/>
      <c r="Z34" s="10"/>
      <c r="AA34" s="10"/>
      <c r="AB34" s="10"/>
      <c r="AC34" s="10"/>
      <c r="AD34" s="10"/>
      <c r="AH34" s="10"/>
      <c r="AI34" s="10"/>
      <c r="AJ34" s="10"/>
      <c r="AK34" s="10"/>
      <c r="AL34" s="10"/>
      <c r="AM34" s="10"/>
      <c r="AN34" s="10"/>
      <c r="AO34" s="10"/>
      <c r="AP34" s="10"/>
    </row>
    <row r="35" spans="5:42" x14ac:dyDescent="0.35">
      <c r="E35" s="1"/>
      <c r="P35" s="10"/>
      <c r="Q35" s="10"/>
      <c r="R35" s="10"/>
      <c r="S35" s="10"/>
      <c r="T35" s="10"/>
      <c r="U35" s="10"/>
      <c r="V35" s="10"/>
      <c r="Y35" s="10"/>
      <c r="Z35" s="10"/>
      <c r="AA35" s="10"/>
      <c r="AB35" s="10"/>
      <c r="AC35" s="10"/>
      <c r="AD35" s="10"/>
      <c r="AH35" s="10"/>
      <c r="AI35" s="10"/>
      <c r="AJ35" s="10"/>
      <c r="AK35" s="10"/>
      <c r="AL35" s="10"/>
      <c r="AM35" s="10"/>
      <c r="AN35" s="10"/>
      <c r="AO35" s="10"/>
      <c r="AP35" s="10"/>
    </row>
    <row r="36" spans="5:42" ht="21" x14ac:dyDescent="0.5">
      <c r="E36" s="1"/>
      <c r="F36" s="102" t="s">
        <v>472</v>
      </c>
      <c r="G36" s="102"/>
      <c r="H36" s="102"/>
      <c r="I36" s="102"/>
      <c r="P36" s="10"/>
      <c r="Q36" s="10"/>
      <c r="R36" s="10"/>
      <c r="S36" s="10"/>
      <c r="T36" s="10"/>
      <c r="U36" s="10"/>
      <c r="V36" s="10"/>
      <c r="Y36" s="10"/>
      <c r="Z36" s="10"/>
      <c r="AA36" s="10"/>
      <c r="AB36" s="10"/>
      <c r="AC36" s="10"/>
      <c r="AD36" s="10"/>
      <c r="AH36" s="10"/>
      <c r="AI36" s="10"/>
      <c r="AJ36" s="10"/>
      <c r="AK36" s="10"/>
      <c r="AL36" s="10"/>
      <c r="AM36" s="10"/>
      <c r="AN36" s="10"/>
      <c r="AO36" s="10"/>
      <c r="AP36" s="10"/>
    </row>
    <row r="37" spans="5:42" ht="43.5" x14ac:dyDescent="0.35">
      <c r="F37" s="9"/>
      <c r="G37" s="34" t="s">
        <v>29</v>
      </c>
      <c r="H37" s="34" t="s">
        <v>28</v>
      </c>
      <c r="I37" s="9" t="s">
        <v>27</v>
      </c>
      <c r="AH37" s="10"/>
      <c r="AI37" s="10"/>
      <c r="AJ37" s="10"/>
      <c r="AK37" s="10"/>
      <c r="AL37" s="10"/>
      <c r="AM37" s="10"/>
      <c r="AN37" s="10"/>
      <c r="AO37" s="10"/>
      <c r="AP37" s="10"/>
    </row>
    <row r="38" spans="5:42" ht="15" thickBot="1" x14ac:dyDescent="0.4">
      <c r="F38" s="6" t="s">
        <v>58</v>
      </c>
      <c r="G38" s="9">
        <v>1</v>
      </c>
      <c r="H38" s="9">
        <v>27</v>
      </c>
      <c r="I38" s="9">
        <f>H38*100/370</f>
        <v>7.2972972972972974</v>
      </c>
      <c r="AH38" s="10"/>
      <c r="AI38" s="10"/>
      <c r="AJ38" s="10"/>
      <c r="AK38" s="10"/>
      <c r="AL38" s="10"/>
      <c r="AM38" s="10"/>
      <c r="AN38" s="10"/>
      <c r="AO38" s="10"/>
      <c r="AP38" s="10"/>
    </row>
    <row r="39" spans="5:42" ht="29.5" thickBot="1" x14ac:dyDescent="0.4">
      <c r="F39" s="9" t="s">
        <v>59</v>
      </c>
      <c r="G39" s="9">
        <v>1</v>
      </c>
      <c r="H39" s="9">
        <v>6</v>
      </c>
      <c r="I39" s="9">
        <f t="shared" ref="I39:I54" si="1">H39*100/370</f>
        <v>1.6216216216216217</v>
      </c>
      <c r="AH39" s="10"/>
      <c r="AI39" s="11"/>
      <c r="AJ39" s="13"/>
      <c r="AK39" s="13"/>
      <c r="AL39" s="13"/>
      <c r="AM39" s="13"/>
      <c r="AN39" s="10"/>
      <c r="AO39" s="13"/>
      <c r="AP39" s="13"/>
    </row>
    <row r="40" spans="5:42" ht="15" thickBot="1" x14ac:dyDescent="0.4">
      <c r="F40" s="7" t="s">
        <v>110</v>
      </c>
      <c r="G40" s="9">
        <v>1</v>
      </c>
      <c r="H40" s="9">
        <v>8</v>
      </c>
      <c r="I40" s="9">
        <f t="shared" si="1"/>
        <v>2.1621621621621623</v>
      </c>
      <c r="AH40" s="10"/>
      <c r="AI40" s="11"/>
      <c r="AJ40" s="11"/>
      <c r="AK40" s="11"/>
      <c r="AL40" s="11"/>
      <c r="AM40" s="11"/>
      <c r="AN40" s="10"/>
      <c r="AO40" s="10"/>
      <c r="AP40" s="10"/>
    </row>
    <row r="41" spans="5:42" ht="15" thickBot="1" x14ac:dyDescent="0.4">
      <c r="F41" s="6" t="s">
        <v>35</v>
      </c>
      <c r="G41" s="9">
        <v>1</v>
      </c>
      <c r="H41" s="9">
        <v>18</v>
      </c>
      <c r="I41" s="9">
        <f t="shared" si="1"/>
        <v>4.8648648648648649</v>
      </c>
      <c r="AH41" s="10"/>
      <c r="AI41" s="11"/>
      <c r="AJ41" s="11"/>
      <c r="AK41" s="11"/>
      <c r="AL41" s="11"/>
      <c r="AM41" s="11"/>
      <c r="AN41" s="10"/>
      <c r="AO41" s="10"/>
      <c r="AP41" s="10"/>
    </row>
    <row r="42" spans="5:42" ht="15" thickBot="1" x14ac:dyDescent="0.4">
      <c r="F42" s="6" t="s">
        <v>61</v>
      </c>
      <c r="G42" s="9">
        <v>1</v>
      </c>
      <c r="H42" s="9">
        <v>4</v>
      </c>
      <c r="I42" s="9">
        <f t="shared" si="1"/>
        <v>1.0810810810810811</v>
      </c>
      <c r="AH42" s="10"/>
      <c r="AI42" s="11"/>
      <c r="AJ42" s="11"/>
      <c r="AK42" s="11"/>
      <c r="AL42" s="11"/>
      <c r="AM42" s="11"/>
      <c r="AN42" s="10"/>
      <c r="AO42" s="10"/>
      <c r="AP42" s="10"/>
    </row>
    <row r="43" spans="5:42" ht="29.5" thickBot="1" x14ac:dyDescent="0.4">
      <c r="F43" s="6" t="s">
        <v>111</v>
      </c>
      <c r="G43" s="9">
        <v>1</v>
      </c>
      <c r="H43" s="9">
        <v>15</v>
      </c>
      <c r="I43" s="9">
        <f t="shared" si="1"/>
        <v>4.0540540540540544</v>
      </c>
      <c r="AH43" s="10"/>
      <c r="AI43" s="11"/>
      <c r="AJ43" s="11"/>
      <c r="AK43" s="11"/>
      <c r="AL43" s="11"/>
      <c r="AM43" s="11"/>
      <c r="AN43" s="10"/>
      <c r="AO43" s="10"/>
      <c r="AP43" s="10"/>
    </row>
    <row r="44" spans="5:42" ht="15" thickBot="1" x14ac:dyDescent="0.4">
      <c r="F44" s="6" t="s">
        <v>62</v>
      </c>
      <c r="G44" s="9">
        <v>2</v>
      </c>
      <c r="H44" s="9">
        <v>27</v>
      </c>
      <c r="I44" s="9">
        <f t="shared" si="1"/>
        <v>7.2972972972972974</v>
      </c>
      <c r="AH44" s="10"/>
      <c r="AI44" s="11"/>
      <c r="AJ44" s="11"/>
      <c r="AK44" s="11"/>
      <c r="AL44" s="11"/>
      <c r="AM44" s="11"/>
      <c r="AN44" s="10"/>
      <c r="AO44" s="10"/>
      <c r="AP44" s="10"/>
    </row>
    <row r="45" spans="5:42" ht="29.5" thickBot="1" x14ac:dyDescent="0.4">
      <c r="F45" s="6" t="s">
        <v>112</v>
      </c>
      <c r="G45" s="9">
        <v>1</v>
      </c>
      <c r="H45" s="9">
        <v>15</v>
      </c>
      <c r="I45" s="9">
        <f t="shared" si="1"/>
        <v>4.0540540540540544</v>
      </c>
      <c r="AH45" s="10"/>
      <c r="AI45" s="11"/>
      <c r="AJ45" s="11"/>
      <c r="AK45" s="11"/>
      <c r="AL45" s="11"/>
      <c r="AM45" s="11"/>
      <c r="AN45" s="10"/>
      <c r="AO45" s="10"/>
      <c r="AP45" s="10"/>
    </row>
    <row r="46" spans="5:42" ht="29.5" thickBot="1" x14ac:dyDescent="0.4">
      <c r="F46" s="6" t="s">
        <v>113</v>
      </c>
      <c r="G46" s="9">
        <v>2</v>
      </c>
      <c r="H46" s="9">
        <v>8</v>
      </c>
      <c r="I46" s="9">
        <f t="shared" si="1"/>
        <v>2.1621621621621623</v>
      </c>
      <c r="AH46" s="10"/>
      <c r="AI46" s="11"/>
      <c r="AJ46" s="11"/>
      <c r="AK46" s="11"/>
      <c r="AL46" s="11"/>
      <c r="AM46" s="11"/>
      <c r="AN46" s="10"/>
      <c r="AO46" s="10"/>
      <c r="AP46" s="10"/>
    </row>
    <row r="47" spans="5:42" ht="15" thickBot="1" x14ac:dyDescent="0.4">
      <c r="F47" s="6" t="s">
        <v>65</v>
      </c>
      <c r="G47" s="9">
        <v>1</v>
      </c>
      <c r="H47" s="9">
        <v>6</v>
      </c>
      <c r="I47" s="9">
        <f t="shared" si="1"/>
        <v>1.6216216216216217</v>
      </c>
      <c r="AH47" s="10"/>
      <c r="AI47" s="11"/>
      <c r="AJ47" s="11"/>
      <c r="AK47" s="11"/>
      <c r="AL47" s="11"/>
      <c r="AM47" s="11"/>
      <c r="AN47" s="10"/>
      <c r="AO47" s="10"/>
      <c r="AP47" s="10"/>
    </row>
    <row r="48" spans="5:42" ht="29.5" thickBot="1" x14ac:dyDescent="0.4">
      <c r="F48" s="33" t="s">
        <v>66</v>
      </c>
      <c r="G48" s="9">
        <v>1</v>
      </c>
      <c r="H48" s="9">
        <v>17</v>
      </c>
      <c r="I48" s="9">
        <f>H48*100/370</f>
        <v>4.5945945945945947</v>
      </c>
      <c r="AH48" s="10"/>
      <c r="AI48" s="11"/>
      <c r="AJ48" s="13"/>
      <c r="AK48" s="13"/>
      <c r="AL48" s="13"/>
      <c r="AM48" s="13"/>
      <c r="AN48" s="10"/>
      <c r="AO48" s="10"/>
      <c r="AP48" s="10"/>
    </row>
    <row r="49" spans="6:42" ht="29.5" thickBot="1" x14ac:dyDescent="0.4">
      <c r="F49" s="9" t="s">
        <v>114</v>
      </c>
      <c r="G49" s="9">
        <v>1</v>
      </c>
      <c r="H49" s="9">
        <v>3</v>
      </c>
      <c r="I49" s="9">
        <f t="shared" si="1"/>
        <v>0.81081081081081086</v>
      </c>
      <c r="AH49" s="10"/>
      <c r="AI49" s="11"/>
      <c r="AJ49" s="11"/>
      <c r="AK49" s="11"/>
      <c r="AL49" s="11"/>
      <c r="AM49" s="11"/>
      <c r="AN49" s="10"/>
      <c r="AO49" s="10"/>
      <c r="AP49" s="10"/>
    </row>
    <row r="50" spans="6:42" ht="29.5" thickBot="1" x14ac:dyDescent="0.4">
      <c r="F50" s="9" t="s">
        <v>115</v>
      </c>
      <c r="G50" s="9">
        <v>1</v>
      </c>
      <c r="H50" s="9">
        <v>8</v>
      </c>
      <c r="I50" s="9">
        <f t="shared" si="1"/>
        <v>2.1621621621621623</v>
      </c>
      <c r="AH50" s="10"/>
      <c r="AI50" s="11"/>
      <c r="AJ50" s="13"/>
      <c r="AK50" s="13"/>
      <c r="AL50" s="13"/>
      <c r="AM50" s="13"/>
      <c r="AN50" s="10"/>
      <c r="AO50" s="10"/>
      <c r="AP50" s="10"/>
    </row>
    <row r="51" spans="6:42" ht="29.5" thickBot="1" x14ac:dyDescent="0.4">
      <c r="F51" s="6" t="s">
        <v>116</v>
      </c>
      <c r="G51" s="9">
        <v>1</v>
      </c>
      <c r="H51" s="9">
        <v>3</v>
      </c>
      <c r="I51" s="9">
        <f t="shared" si="1"/>
        <v>0.81081081081081086</v>
      </c>
      <c r="AH51" s="10"/>
      <c r="AI51" s="11"/>
      <c r="AJ51" s="13"/>
      <c r="AK51" s="13"/>
      <c r="AL51" s="13"/>
      <c r="AM51" s="13"/>
      <c r="AN51" s="10"/>
      <c r="AO51" s="10"/>
      <c r="AP51" s="10"/>
    </row>
    <row r="52" spans="6:42" x14ac:dyDescent="0.35">
      <c r="F52" s="6" t="s">
        <v>117</v>
      </c>
      <c r="G52" s="9">
        <v>1</v>
      </c>
      <c r="H52" s="9">
        <v>10</v>
      </c>
      <c r="I52" s="9">
        <f t="shared" si="1"/>
        <v>2.7027027027027026</v>
      </c>
      <c r="AH52" s="10"/>
      <c r="AI52" s="12"/>
      <c r="AJ52" s="12"/>
      <c r="AK52" s="12"/>
      <c r="AL52" s="12"/>
      <c r="AM52" s="12"/>
      <c r="AN52" s="10"/>
      <c r="AO52" s="10"/>
      <c r="AP52" s="10"/>
    </row>
    <row r="53" spans="6:42" x14ac:dyDescent="0.35">
      <c r="F53" s="6" t="s">
        <v>68</v>
      </c>
      <c r="G53" s="9">
        <v>12</v>
      </c>
      <c r="H53" s="9">
        <v>193</v>
      </c>
      <c r="I53" s="9">
        <f t="shared" si="1"/>
        <v>52.162162162162161</v>
      </c>
      <c r="AH53" s="10"/>
      <c r="AI53" s="12"/>
      <c r="AJ53" s="13"/>
      <c r="AK53" s="13"/>
      <c r="AL53" s="13"/>
      <c r="AM53" s="13"/>
      <c r="AN53" s="10"/>
      <c r="AO53" s="10"/>
      <c r="AP53" s="10"/>
    </row>
    <row r="54" spans="6:42" ht="29" x14ac:dyDescent="0.35">
      <c r="F54" s="6" t="s">
        <v>69</v>
      </c>
      <c r="G54" s="9">
        <v>1</v>
      </c>
      <c r="H54" s="9">
        <v>2</v>
      </c>
      <c r="I54" s="9">
        <f t="shared" si="1"/>
        <v>0.54054054054054057</v>
      </c>
      <c r="P54" s="10"/>
      <c r="Q54" s="10"/>
      <c r="R54" s="10"/>
      <c r="S54" s="10"/>
      <c r="T54" s="10"/>
      <c r="U54" s="10"/>
      <c r="V54" s="10"/>
      <c r="Y54" s="10"/>
      <c r="Z54" s="10"/>
      <c r="AA54" s="10"/>
      <c r="AB54" s="10"/>
      <c r="AC54" s="10"/>
      <c r="AD54" s="10"/>
      <c r="AH54" s="10"/>
      <c r="AI54" s="10"/>
      <c r="AJ54" s="10"/>
      <c r="AK54" s="10"/>
      <c r="AL54" s="10"/>
      <c r="AM54" s="10"/>
      <c r="AN54" s="10"/>
      <c r="AO54" s="10"/>
      <c r="AP54" s="10"/>
    </row>
    <row r="55" spans="6:42" x14ac:dyDescent="0.35">
      <c r="F55" s="9" t="s">
        <v>55</v>
      </c>
      <c r="G55" s="9">
        <f>SUM(G38:G54)</f>
        <v>30</v>
      </c>
      <c r="H55" s="9">
        <f>SUM(H38:H54)</f>
        <v>370</v>
      </c>
      <c r="I55" s="9"/>
      <c r="P55" s="13"/>
      <c r="Q55" s="10"/>
      <c r="R55" s="10"/>
      <c r="S55" s="10"/>
      <c r="T55" s="10"/>
      <c r="U55" s="10"/>
      <c r="V55" s="10"/>
      <c r="Y55" s="10"/>
      <c r="Z55" s="10"/>
      <c r="AA55" s="10"/>
      <c r="AB55" s="10"/>
      <c r="AC55" s="10"/>
      <c r="AD55" s="10"/>
      <c r="AG55" s="10"/>
      <c r="AH55" s="10"/>
      <c r="AI55" s="10"/>
      <c r="AJ55" s="10"/>
      <c r="AK55" s="10"/>
      <c r="AL55" s="10"/>
      <c r="AM55" s="10"/>
      <c r="AN55" s="10"/>
      <c r="AO55" s="10"/>
      <c r="AP55" s="10"/>
    </row>
    <row r="56" spans="6:42" x14ac:dyDescent="0.35">
      <c r="P56" s="10"/>
      <c r="Q56" s="10"/>
      <c r="R56" s="10"/>
      <c r="S56" s="10"/>
      <c r="T56" s="10"/>
      <c r="U56" s="10"/>
      <c r="V56" s="10"/>
      <c r="Y56" s="10"/>
      <c r="Z56" s="10"/>
      <c r="AA56" s="10"/>
      <c r="AB56" s="10"/>
      <c r="AC56" s="10"/>
      <c r="AD56" s="10"/>
      <c r="AG56" s="10"/>
      <c r="AH56" s="10"/>
      <c r="AI56" s="10"/>
      <c r="AJ56" s="10"/>
      <c r="AK56" s="10"/>
      <c r="AL56" s="10"/>
      <c r="AM56" s="10"/>
      <c r="AN56" s="10"/>
      <c r="AO56" s="10"/>
      <c r="AP56" s="10"/>
    </row>
    <row r="59" spans="6:42" x14ac:dyDescent="0.35">
      <c r="F59" s="103" t="s">
        <v>466</v>
      </c>
      <c r="G59" s="103"/>
      <c r="H59" s="103"/>
      <c r="I59" s="103"/>
      <c r="J59" s="103"/>
      <c r="K59" s="103"/>
      <c r="L59" s="103"/>
      <c r="M59" s="103"/>
      <c r="N59" s="103"/>
      <c r="O59" s="103"/>
      <c r="P59" s="103"/>
      <c r="Q59" s="103"/>
      <c r="R59" s="103"/>
      <c r="S59" s="103"/>
      <c r="T59" s="103"/>
      <c r="U59" s="103"/>
      <c r="V59" s="103"/>
      <c r="W59" s="103"/>
    </row>
    <row r="60" spans="6:42" x14ac:dyDescent="0.35">
      <c r="F60" s="104"/>
      <c r="G60" s="104"/>
      <c r="H60" s="104"/>
      <c r="I60" s="104"/>
      <c r="J60" s="104"/>
      <c r="K60" s="104"/>
      <c r="L60" s="104"/>
      <c r="M60" s="104"/>
      <c r="N60" s="104"/>
      <c r="O60" s="104"/>
      <c r="P60" s="104"/>
      <c r="Q60" s="104"/>
      <c r="R60" s="104"/>
      <c r="S60" s="104"/>
      <c r="T60" s="104"/>
      <c r="U60" s="104"/>
      <c r="V60" s="104"/>
      <c r="W60" s="104"/>
    </row>
    <row r="61" spans="6:42" x14ac:dyDescent="0.35">
      <c r="F61" s="8"/>
      <c r="G61" s="36" t="s">
        <v>58</v>
      </c>
      <c r="H61" s="8" t="s">
        <v>59</v>
      </c>
      <c r="I61" s="8" t="s">
        <v>60</v>
      </c>
      <c r="J61" s="8" t="s">
        <v>35</v>
      </c>
      <c r="K61" s="8" t="s">
        <v>101</v>
      </c>
      <c r="L61" s="8" t="s">
        <v>92</v>
      </c>
      <c r="M61" s="39" t="s">
        <v>100</v>
      </c>
      <c r="N61" s="39" t="s">
        <v>446</v>
      </c>
      <c r="O61" s="36" t="s">
        <v>64</v>
      </c>
      <c r="P61" s="8" t="s">
        <v>90</v>
      </c>
      <c r="Q61" s="36" t="s">
        <v>65</v>
      </c>
      <c r="R61" s="38" t="s">
        <v>66</v>
      </c>
      <c r="S61" s="8" t="s">
        <v>97</v>
      </c>
      <c r="T61" s="39"/>
      <c r="U61" s="36" t="s">
        <v>67</v>
      </c>
      <c r="V61" s="8" t="s">
        <v>109</v>
      </c>
      <c r="W61" s="39" t="s">
        <v>68</v>
      </c>
    </row>
    <row r="62" spans="6:42" x14ac:dyDescent="0.35">
      <c r="F62" s="8"/>
      <c r="G62" s="8" t="s">
        <v>70</v>
      </c>
      <c r="H62" s="8" t="s">
        <v>86</v>
      </c>
      <c r="I62" s="8"/>
      <c r="J62" s="8" t="s">
        <v>95</v>
      </c>
      <c r="K62" s="8" t="s">
        <v>99</v>
      </c>
      <c r="L62" s="8" t="s">
        <v>91</v>
      </c>
      <c r="M62" s="8" t="s">
        <v>98</v>
      </c>
      <c r="N62" s="8" t="s">
        <v>103</v>
      </c>
      <c r="O62" s="8"/>
      <c r="P62" s="8" t="s">
        <v>104</v>
      </c>
      <c r="Q62" s="8" t="s">
        <v>105</v>
      </c>
      <c r="R62" s="8" t="s">
        <v>106</v>
      </c>
      <c r="S62" s="8" t="s">
        <v>96</v>
      </c>
      <c r="T62" s="8"/>
      <c r="U62" s="8" t="s">
        <v>107</v>
      </c>
      <c r="V62" s="8" t="s">
        <v>108</v>
      </c>
      <c r="W62" s="8" t="s">
        <v>93</v>
      </c>
    </row>
    <row r="63" spans="6:42" x14ac:dyDescent="0.35">
      <c r="F63" s="39" t="s">
        <v>71</v>
      </c>
      <c r="G63" s="8"/>
      <c r="H63" s="8"/>
      <c r="I63" s="8"/>
      <c r="J63" s="8"/>
      <c r="K63" s="8"/>
      <c r="L63" s="8"/>
      <c r="M63" s="8"/>
      <c r="N63" s="8"/>
      <c r="O63" s="8"/>
      <c r="P63" s="8"/>
      <c r="Q63" s="8"/>
      <c r="R63" s="8"/>
      <c r="S63" s="8"/>
      <c r="T63" s="8"/>
      <c r="U63" s="8"/>
      <c r="V63" s="8"/>
      <c r="W63" s="8"/>
    </row>
    <row r="64" spans="6:42" x14ac:dyDescent="0.35">
      <c r="F64" s="39" t="s">
        <v>72</v>
      </c>
      <c r="G64" s="8">
        <v>14.84</v>
      </c>
      <c r="H64" s="39">
        <v>49.3</v>
      </c>
      <c r="I64" s="8"/>
      <c r="J64" s="8">
        <v>11.3</v>
      </c>
      <c r="K64" s="8">
        <v>3.5339999999999998</v>
      </c>
      <c r="L64" s="8">
        <v>2.31</v>
      </c>
      <c r="M64" s="39">
        <v>12.74</v>
      </c>
      <c r="N64" s="8">
        <v>21.675999999999998</v>
      </c>
      <c r="O64" s="8"/>
      <c r="P64" s="39">
        <v>8.06</v>
      </c>
      <c r="Q64" s="8">
        <v>0.87</v>
      </c>
      <c r="R64" s="8"/>
      <c r="S64" s="8">
        <v>20.86</v>
      </c>
      <c r="T64" s="8"/>
      <c r="U64" s="39"/>
      <c r="V64" s="8">
        <v>43.37</v>
      </c>
      <c r="W64" s="39">
        <v>0.3</v>
      </c>
    </row>
    <row r="65" spans="6:23" x14ac:dyDescent="0.35">
      <c r="F65" s="39" t="s">
        <v>73</v>
      </c>
      <c r="G65" s="8">
        <v>48.71</v>
      </c>
      <c r="H65" s="39">
        <v>17.100000000000001</v>
      </c>
      <c r="I65" s="8"/>
      <c r="J65" s="8">
        <v>73</v>
      </c>
      <c r="K65" s="8">
        <v>60.426000000000002</v>
      </c>
      <c r="L65" s="8">
        <v>83.21</v>
      </c>
      <c r="M65" s="39">
        <v>52.06</v>
      </c>
      <c r="N65" s="8">
        <v>32.756</v>
      </c>
      <c r="O65" s="8"/>
      <c r="P65" s="39">
        <v>42.13</v>
      </c>
      <c r="Q65" s="8">
        <v>63.86</v>
      </c>
      <c r="R65" s="8"/>
      <c r="S65" s="8">
        <v>46.84</v>
      </c>
      <c r="T65" s="8"/>
      <c r="U65" s="39"/>
      <c r="V65" s="8">
        <v>19.11</v>
      </c>
      <c r="W65" s="39" t="s">
        <v>445</v>
      </c>
    </row>
    <row r="66" spans="6:23" x14ac:dyDescent="0.35">
      <c r="F66" s="39" t="s">
        <v>74</v>
      </c>
      <c r="G66" s="8">
        <v>14.58</v>
      </c>
      <c r="H66" s="39"/>
      <c r="I66" s="8"/>
      <c r="J66" s="8">
        <v>0.4</v>
      </c>
      <c r="K66" s="8">
        <v>14.045</v>
      </c>
      <c r="L66" s="8">
        <v>2.02</v>
      </c>
      <c r="M66" s="39">
        <v>17.14</v>
      </c>
      <c r="N66" s="8">
        <v>6.8959999999999999</v>
      </c>
      <c r="O66" s="8"/>
      <c r="P66" s="8">
        <v>15.33</v>
      </c>
      <c r="Q66" s="8">
        <v>31.11</v>
      </c>
      <c r="R66" s="8"/>
      <c r="S66" s="8">
        <v>15.49</v>
      </c>
      <c r="T66" s="8"/>
      <c r="U66" s="39"/>
      <c r="V66" s="8">
        <v>7.46</v>
      </c>
      <c r="W66" s="39">
        <v>0.2</v>
      </c>
    </row>
    <row r="67" spans="6:23" x14ac:dyDescent="0.35">
      <c r="F67" s="39" t="s">
        <v>75</v>
      </c>
      <c r="G67" s="8">
        <v>4.9000000000000004</v>
      </c>
      <c r="H67" s="39"/>
      <c r="I67" s="8"/>
      <c r="J67" s="8">
        <v>1.5</v>
      </c>
      <c r="K67" s="8">
        <v>6.6630000000000003</v>
      </c>
      <c r="L67" s="8">
        <v>1.76</v>
      </c>
      <c r="M67" s="39">
        <v>9.1300000000000008</v>
      </c>
      <c r="N67" s="8">
        <v>16.920000000000002</v>
      </c>
      <c r="O67" s="8"/>
      <c r="P67" s="8">
        <v>12.21</v>
      </c>
      <c r="Q67" s="8">
        <v>1.06</v>
      </c>
      <c r="R67" s="8"/>
      <c r="S67" s="8">
        <v>6.95</v>
      </c>
      <c r="T67" s="8"/>
      <c r="U67" s="39"/>
      <c r="V67" s="8">
        <v>18.010000000000002</v>
      </c>
      <c r="W67" s="39">
        <v>0.1</v>
      </c>
    </row>
    <row r="68" spans="6:23" x14ac:dyDescent="0.35">
      <c r="F68" s="39" t="s">
        <v>76</v>
      </c>
      <c r="G68" s="8">
        <v>1.83</v>
      </c>
      <c r="H68" s="39"/>
      <c r="I68" s="8"/>
      <c r="J68" s="8">
        <v>0.5</v>
      </c>
      <c r="K68" s="8"/>
      <c r="L68" s="8">
        <v>3.39</v>
      </c>
      <c r="M68" s="39">
        <v>0.3</v>
      </c>
      <c r="N68" s="8">
        <v>2.028</v>
      </c>
      <c r="O68" s="8"/>
      <c r="P68" s="8">
        <v>0.84</v>
      </c>
      <c r="Q68" s="8">
        <v>0.09</v>
      </c>
      <c r="R68" s="8"/>
      <c r="S68" s="8">
        <v>2.76</v>
      </c>
      <c r="T68" s="8"/>
      <c r="U68" s="39"/>
      <c r="V68" s="8"/>
      <c r="W68" s="39"/>
    </row>
    <row r="69" spans="6:23" x14ac:dyDescent="0.35">
      <c r="F69" s="39" t="s">
        <v>77</v>
      </c>
      <c r="G69" s="8">
        <v>3.45</v>
      </c>
      <c r="H69" s="39"/>
      <c r="I69" s="8"/>
      <c r="J69" s="8">
        <v>13</v>
      </c>
      <c r="K69" s="8">
        <v>0.627</v>
      </c>
      <c r="L69" s="8">
        <v>4.72</v>
      </c>
      <c r="M69" s="39">
        <v>0.97</v>
      </c>
      <c r="N69" s="8">
        <v>1.5129999999999999</v>
      </c>
      <c r="O69" s="8"/>
      <c r="P69" s="8">
        <v>2.99</v>
      </c>
      <c r="Q69" s="8">
        <v>1.08</v>
      </c>
      <c r="R69" s="8"/>
      <c r="S69" s="8">
        <v>1</v>
      </c>
      <c r="T69" s="8"/>
      <c r="U69" s="39"/>
      <c r="V69" s="8">
        <v>0.41</v>
      </c>
      <c r="W69" s="39"/>
    </row>
    <row r="70" spans="6:23" x14ac:dyDescent="0.35">
      <c r="F70" s="39" t="s">
        <v>78</v>
      </c>
      <c r="G70" s="8">
        <v>1.62</v>
      </c>
      <c r="H70" s="39"/>
      <c r="I70" s="8"/>
      <c r="J70" s="8" t="s">
        <v>94</v>
      </c>
      <c r="K70" s="8">
        <v>0.22600000000000001</v>
      </c>
      <c r="L70" s="8"/>
      <c r="M70" s="39"/>
      <c r="N70" s="8">
        <v>9.4860000000000007</v>
      </c>
      <c r="O70" s="8"/>
      <c r="P70" s="8"/>
      <c r="Q70" s="8">
        <v>0.05</v>
      </c>
      <c r="R70" s="8"/>
      <c r="S70" s="8">
        <v>2.0499999999999998</v>
      </c>
      <c r="T70" s="8"/>
      <c r="U70" s="39"/>
      <c r="V70" s="8" t="s">
        <v>87</v>
      </c>
      <c r="W70" s="39"/>
    </row>
    <row r="71" spans="6:23" x14ac:dyDescent="0.35">
      <c r="F71" s="39" t="s">
        <v>79</v>
      </c>
      <c r="G71" s="8">
        <v>2.76</v>
      </c>
      <c r="H71" s="39"/>
      <c r="I71" s="8"/>
      <c r="J71" s="8">
        <v>1.2</v>
      </c>
      <c r="K71" s="8">
        <v>2.4980000000000002</v>
      </c>
      <c r="L71" s="8">
        <v>0.54</v>
      </c>
      <c r="M71" s="39">
        <v>3.68</v>
      </c>
      <c r="N71" s="8">
        <v>6.0519999999999996</v>
      </c>
      <c r="O71" s="8"/>
      <c r="P71" s="8">
        <v>8.5</v>
      </c>
      <c r="Q71" s="8">
        <v>0.18</v>
      </c>
      <c r="R71" s="8"/>
      <c r="S71" s="8">
        <v>2.66</v>
      </c>
      <c r="T71" s="8"/>
      <c r="U71" s="39"/>
      <c r="V71" s="8">
        <v>5.17</v>
      </c>
      <c r="W71" s="39">
        <v>0.2</v>
      </c>
    </row>
    <row r="72" spans="6:23" x14ac:dyDescent="0.35">
      <c r="F72" s="39" t="s">
        <v>80</v>
      </c>
      <c r="G72" s="8"/>
      <c r="H72" s="8"/>
      <c r="I72" s="8"/>
      <c r="J72" s="8"/>
      <c r="K72" s="8">
        <v>0.219</v>
      </c>
      <c r="L72" s="8"/>
      <c r="M72" s="39">
        <v>0.45</v>
      </c>
      <c r="N72" s="8"/>
      <c r="O72" s="8"/>
      <c r="P72" s="8"/>
      <c r="Q72" s="8"/>
      <c r="R72" s="8"/>
      <c r="S72" s="8"/>
      <c r="T72" s="8"/>
      <c r="U72" s="39"/>
      <c r="V72" s="8">
        <v>2.66</v>
      </c>
      <c r="W72" s="8"/>
    </row>
    <row r="73" spans="6:23" x14ac:dyDescent="0.35">
      <c r="F73" s="39" t="s">
        <v>81</v>
      </c>
      <c r="G73" s="8"/>
      <c r="H73" s="39"/>
      <c r="I73" s="8"/>
      <c r="J73" s="8">
        <v>0.04</v>
      </c>
      <c r="K73" s="8">
        <v>1.109</v>
      </c>
      <c r="L73" s="8"/>
      <c r="M73" s="39">
        <v>0.25</v>
      </c>
      <c r="N73" s="8">
        <v>1.0129999999999999</v>
      </c>
      <c r="O73" s="8"/>
      <c r="P73" s="8">
        <v>0.6</v>
      </c>
      <c r="Q73" s="8"/>
      <c r="R73" s="8"/>
      <c r="S73" s="8">
        <v>0.77</v>
      </c>
      <c r="T73" s="8"/>
      <c r="U73" s="39"/>
      <c r="V73" s="8"/>
      <c r="W73" s="39"/>
    </row>
    <row r="74" spans="6:23" x14ac:dyDescent="0.35">
      <c r="F74" s="39" t="s">
        <v>82</v>
      </c>
      <c r="G74" s="8"/>
      <c r="H74" s="8"/>
      <c r="I74" s="8"/>
      <c r="J74" s="8"/>
      <c r="K74" s="8"/>
      <c r="L74" s="8"/>
      <c r="M74" s="39"/>
      <c r="N74" s="8">
        <v>0.17599999999999999</v>
      </c>
      <c r="O74" s="8"/>
      <c r="P74" s="8"/>
      <c r="Q74" s="8"/>
      <c r="R74" s="8"/>
      <c r="S74" s="8"/>
      <c r="T74" s="8"/>
      <c r="U74" s="39"/>
      <c r="V74" s="8"/>
      <c r="W74" s="8"/>
    </row>
    <row r="75" spans="6:23" x14ac:dyDescent="0.35">
      <c r="F75" s="39" t="s">
        <v>83</v>
      </c>
      <c r="G75" s="8"/>
      <c r="H75" s="8"/>
      <c r="I75" s="8"/>
      <c r="J75" s="8"/>
      <c r="K75" s="8">
        <v>0.40699999999999997</v>
      </c>
      <c r="L75" s="8"/>
      <c r="M75" s="39"/>
      <c r="N75" s="8"/>
      <c r="O75" s="8"/>
      <c r="P75" s="8">
        <v>1.37</v>
      </c>
      <c r="Q75" s="8"/>
      <c r="R75" s="8"/>
      <c r="S75" s="8"/>
      <c r="T75" s="8"/>
      <c r="U75" s="39"/>
      <c r="V75" s="8">
        <v>1.76</v>
      </c>
      <c r="W75" s="8"/>
    </row>
    <row r="76" spans="6:23" x14ac:dyDescent="0.35">
      <c r="F76" s="39" t="s">
        <v>85</v>
      </c>
      <c r="G76" s="8"/>
      <c r="H76" s="8">
        <v>2.79</v>
      </c>
      <c r="I76" s="8"/>
      <c r="J76" s="8"/>
      <c r="K76" s="8"/>
      <c r="L76" s="8"/>
      <c r="M76" s="8"/>
      <c r="N76" s="8">
        <v>2.94</v>
      </c>
      <c r="O76" s="8"/>
      <c r="P76" s="8">
        <v>3</v>
      </c>
      <c r="Q76" s="8">
        <v>2.6</v>
      </c>
      <c r="R76" s="8"/>
      <c r="S76" s="8"/>
      <c r="T76" s="8"/>
      <c r="U76" s="8">
        <v>2.19</v>
      </c>
      <c r="V76" s="8"/>
      <c r="W76" s="39"/>
    </row>
    <row r="77" spans="6:23" x14ac:dyDescent="0.35">
      <c r="F77" s="8" t="s">
        <v>102</v>
      </c>
      <c r="G77" s="8"/>
      <c r="H77" s="8"/>
      <c r="I77" s="8">
        <v>2</v>
      </c>
      <c r="J77" s="8"/>
      <c r="K77" s="8">
        <v>0.6</v>
      </c>
      <c r="L77" s="8"/>
      <c r="M77" s="8">
        <v>0.6</v>
      </c>
      <c r="N77" s="8">
        <v>1</v>
      </c>
      <c r="O77" s="8">
        <v>1.25</v>
      </c>
      <c r="P77" s="8"/>
      <c r="Q77" s="8"/>
      <c r="R77" s="8">
        <v>0.15</v>
      </c>
      <c r="S77" s="8"/>
      <c r="T77" s="8"/>
      <c r="U77" s="8">
        <v>1.18</v>
      </c>
      <c r="V77" s="8">
        <v>1.25</v>
      </c>
      <c r="W77" s="8"/>
    </row>
  </sheetData>
  <mergeCells count="10">
    <mergeCell ref="F3:I3"/>
    <mergeCell ref="F36:I36"/>
    <mergeCell ref="F59:W60"/>
    <mergeCell ref="F9:F19"/>
    <mergeCell ref="F20:F25"/>
    <mergeCell ref="F4:G4"/>
    <mergeCell ref="F5:G5"/>
    <mergeCell ref="F6:G6"/>
    <mergeCell ref="F7:G7"/>
    <mergeCell ref="F8:G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7FA3-B7EB-4E69-A286-22504669E71E}">
  <dimension ref="E2:T32"/>
  <sheetViews>
    <sheetView topLeftCell="B1" zoomScaleNormal="100" workbookViewId="0">
      <selection activeCell="J47" sqref="J47"/>
    </sheetView>
  </sheetViews>
  <sheetFormatPr defaultRowHeight="14.5" x14ac:dyDescent="0.35"/>
  <cols>
    <col min="4" max="4" width="19.36328125" bestFit="1" customWidth="1"/>
    <col min="5" max="5" width="24" customWidth="1"/>
    <col min="6" max="6" width="19.36328125" bestFit="1" customWidth="1"/>
    <col min="9" max="9" width="22.08984375" bestFit="1" customWidth="1"/>
    <col min="10" max="10" width="37.54296875" bestFit="1" customWidth="1"/>
    <col min="11" max="11" width="17.6328125" customWidth="1"/>
  </cols>
  <sheetData>
    <row r="2" spans="5:20" x14ac:dyDescent="0.35">
      <c r="E2" s="75" t="s">
        <v>468</v>
      </c>
      <c r="F2" s="66" t="s">
        <v>28</v>
      </c>
      <c r="I2" s="106" t="s">
        <v>467</v>
      </c>
      <c r="J2" s="107"/>
      <c r="K2" s="108"/>
    </row>
    <row r="3" spans="5:20" x14ac:dyDescent="0.35">
      <c r="E3" s="67" t="s">
        <v>163</v>
      </c>
      <c r="F3" s="65">
        <v>2</v>
      </c>
      <c r="I3" s="72"/>
      <c r="J3" s="72"/>
      <c r="K3" s="64" t="s">
        <v>28</v>
      </c>
    </row>
    <row r="4" spans="5:20" x14ac:dyDescent="0.35">
      <c r="E4" s="68" t="s">
        <v>278</v>
      </c>
      <c r="F4" s="65">
        <v>2</v>
      </c>
      <c r="I4" s="73" t="s">
        <v>146</v>
      </c>
      <c r="J4" s="73" t="s">
        <v>147</v>
      </c>
      <c r="K4" s="65">
        <v>34</v>
      </c>
    </row>
    <row r="5" spans="5:20" x14ac:dyDescent="0.35">
      <c r="E5" s="69" t="s">
        <v>159</v>
      </c>
      <c r="F5" s="65">
        <v>6</v>
      </c>
      <c r="I5" s="74" t="s">
        <v>146</v>
      </c>
      <c r="J5" s="74" t="s">
        <v>148</v>
      </c>
      <c r="K5" s="65">
        <v>1</v>
      </c>
    </row>
    <row r="6" spans="5:20" x14ac:dyDescent="0.35">
      <c r="E6" s="70" t="s">
        <v>160</v>
      </c>
      <c r="F6" s="65">
        <v>90</v>
      </c>
      <c r="I6" s="74" t="s">
        <v>146</v>
      </c>
      <c r="J6" s="73" t="s">
        <v>149</v>
      </c>
      <c r="K6" s="65">
        <v>35</v>
      </c>
    </row>
    <row r="7" spans="5:20" x14ac:dyDescent="0.35">
      <c r="E7" s="71" t="s">
        <v>146</v>
      </c>
      <c r="F7" s="65">
        <v>1100</v>
      </c>
      <c r="I7" s="74" t="s">
        <v>146</v>
      </c>
      <c r="J7" s="73" t="s">
        <v>150</v>
      </c>
      <c r="K7" s="65">
        <v>2</v>
      </c>
      <c r="S7" s="40"/>
      <c r="T7" s="40"/>
    </row>
    <row r="8" spans="5:20" x14ac:dyDescent="0.35">
      <c r="E8" s="68" t="s">
        <v>161</v>
      </c>
      <c r="F8" s="65">
        <v>23</v>
      </c>
      <c r="I8" s="74" t="s">
        <v>146</v>
      </c>
      <c r="J8" s="65" t="s">
        <v>151</v>
      </c>
      <c r="K8" s="65">
        <v>1</v>
      </c>
      <c r="S8" s="24"/>
      <c r="T8" s="30"/>
    </row>
    <row r="9" spans="5:20" x14ac:dyDescent="0.35">
      <c r="E9" s="69" t="s">
        <v>162</v>
      </c>
      <c r="F9" s="65">
        <v>6</v>
      </c>
      <c r="I9" s="74" t="s">
        <v>153</v>
      </c>
      <c r="J9" s="74" t="s">
        <v>152</v>
      </c>
      <c r="K9" s="65">
        <v>22</v>
      </c>
    </row>
    <row r="10" spans="5:20" x14ac:dyDescent="0.35">
      <c r="E10" s="71" t="s">
        <v>156</v>
      </c>
      <c r="F10" s="65">
        <v>100</v>
      </c>
      <c r="I10" s="73" t="s">
        <v>147</v>
      </c>
      <c r="J10" s="73" t="s">
        <v>154</v>
      </c>
      <c r="K10" s="65">
        <v>3</v>
      </c>
    </row>
    <row r="11" spans="5:20" x14ac:dyDescent="0.35">
      <c r="E11" s="71" t="s">
        <v>150</v>
      </c>
      <c r="F11" s="65">
        <v>1</v>
      </c>
      <c r="I11" s="73" t="s">
        <v>155</v>
      </c>
      <c r="J11" s="65" t="s">
        <v>156</v>
      </c>
      <c r="K11" s="65">
        <v>15</v>
      </c>
    </row>
    <row r="12" spans="5:20" x14ac:dyDescent="0.35">
      <c r="E12" s="71" t="s">
        <v>151</v>
      </c>
      <c r="F12" s="65">
        <v>32</v>
      </c>
      <c r="I12" s="73" t="s">
        <v>155</v>
      </c>
      <c r="J12" s="73" t="s">
        <v>146</v>
      </c>
      <c r="K12" s="65">
        <v>3</v>
      </c>
    </row>
    <row r="13" spans="5:20" x14ac:dyDescent="0.35">
      <c r="E13" s="67" t="s">
        <v>55</v>
      </c>
      <c r="F13" s="65">
        <f>SUM(F3:F12)</f>
        <v>1362</v>
      </c>
      <c r="I13" s="74" t="s">
        <v>157</v>
      </c>
      <c r="J13" s="74" t="s">
        <v>158</v>
      </c>
      <c r="K13" s="65">
        <v>2</v>
      </c>
    </row>
    <row r="19" spans="5:9" ht="21" x14ac:dyDescent="0.5">
      <c r="E19" s="102" t="s">
        <v>469</v>
      </c>
      <c r="F19" s="102"/>
      <c r="G19" s="102"/>
      <c r="H19" s="102"/>
      <c r="I19" s="102"/>
    </row>
    <row r="20" spans="5:9" ht="43.5" x14ac:dyDescent="0.35">
      <c r="E20" s="76"/>
      <c r="F20" s="77" t="s">
        <v>221</v>
      </c>
      <c r="G20" s="78" t="s">
        <v>220</v>
      </c>
      <c r="H20" s="78" t="s">
        <v>219</v>
      </c>
      <c r="I20" s="77" t="s">
        <v>296</v>
      </c>
    </row>
    <row r="21" spans="5:9" ht="29" x14ac:dyDescent="0.35">
      <c r="E21" s="40" t="s">
        <v>297</v>
      </c>
      <c r="F21" s="40">
        <v>0.05</v>
      </c>
      <c r="G21" s="24">
        <v>3.3300000000000001E-3</v>
      </c>
      <c r="H21" s="29"/>
      <c r="I21" s="29"/>
    </row>
    <row r="22" spans="5:9" x14ac:dyDescent="0.35">
      <c r="E22" s="24" t="s">
        <v>154</v>
      </c>
      <c r="F22" s="24">
        <v>2.1</v>
      </c>
      <c r="G22" s="79">
        <v>1.7948717948717951E-2</v>
      </c>
      <c r="H22" s="24">
        <v>900</v>
      </c>
      <c r="I22" s="29"/>
    </row>
    <row r="23" spans="5:9" x14ac:dyDescent="0.35">
      <c r="E23" s="29" t="s">
        <v>163</v>
      </c>
      <c r="F23" s="40">
        <v>1</v>
      </c>
      <c r="G23" s="80">
        <v>7.0000000000000001E-3</v>
      </c>
      <c r="H23" s="40">
        <v>4300</v>
      </c>
      <c r="I23" s="40">
        <v>250</v>
      </c>
    </row>
    <row r="24" spans="5:9" x14ac:dyDescent="0.35">
      <c r="E24" s="63" t="s">
        <v>278</v>
      </c>
      <c r="F24" s="40">
        <v>15</v>
      </c>
      <c r="G24" s="81">
        <v>0.18</v>
      </c>
      <c r="H24" s="81">
        <v>2000</v>
      </c>
      <c r="I24" s="29"/>
    </row>
    <row r="25" spans="5:9" x14ac:dyDescent="0.35">
      <c r="E25" s="41" t="s">
        <v>159</v>
      </c>
      <c r="F25" s="24">
        <v>13</v>
      </c>
      <c r="G25" s="82">
        <v>0.2</v>
      </c>
      <c r="H25" s="82">
        <v>2800</v>
      </c>
      <c r="I25" s="29"/>
    </row>
    <row r="26" spans="5:9" x14ac:dyDescent="0.35">
      <c r="E26" s="42" t="s">
        <v>160</v>
      </c>
      <c r="F26" s="83" t="s">
        <v>280</v>
      </c>
      <c r="G26" s="29" t="s">
        <v>281</v>
      </c>
      <c r="H26" s="29" t="s">
        <v>282</v>
      </c>
      <c r="I26" s="29" t="s">
        <v>283</v>
      </c>
    </row>
    <row r="27" spans="5:9" x14ac:dyDescent="0.35">
      <c r="E27" s="24" t="s">
        <v>146</v>
      </c>
      <c r="F27" s="29" t="s">
        <v>284</v>
      </c>
      <c r="G27" s="29" t="s">
        <v>285</v>
      </c>
      <c r="H27" s="29" t="s">
        <v>286</v>
      </c>
      <c r="I27" s="29" t="s">
        <v>287</v>
      </c>
    </row>
    <row r="28" spans="5:9" ht="29" x14ac:dyDescent="0.35">
      <c r="E28" s="63" t="s">
        <v>161</v>
      </c>
      <c r="F28" s="24" t="s">
        <v>288</v>
      </c>
      <c r="G28" s="82">
        <v>0.3</v>
      </c>
      <c r="H28" s="82" t="s">
        <v>289</v>
      </c>
      <c r="I28" s="24">
        <v>200</v>
      </c>
    </row>
    <row r="29" spans="5:9" x14ac:dyDescent="0.35">
      <c r="E29" s="41" t="s">
        <v>162</v>
      </c>
      <c r="F29" s="41">
        <v>13</v>
      </c>
      <c r="G29" s="84">
        <v>1.7999999999999999E-2</v>
      </c>
      <c r="H29" s="84">
        <v>2000</v>
      </c>
      <c r="I29" s="29"/>
    </row>
    <row r="30" spans="5:9" x14ac:dyDescent="0.35">
      <c r="E30" s="24" t="s">
        <v>156</v>
      </c>
      <c r="F30" s="29" t="s">
        <v>290</v>
      </c>
      <c r="G30" s="29" t="s">
        <v>292</v>
      </c>
      <c r="H30" s="29" t="s">
        <v>293</v>
      </c>
      <c r="I30" s="29" t="s">
        <v>294</v>
      </c>
    </row>
    <row r="31" spans="5:9" x14ac:dyDescent="0.35">
      <c r="E31" s="24" t="s">
        <v>150</v>
      </c>
      <c r="F31" s="24">
        <v>10</v>
      </c>
      <c r="G31" s="84">
        <v>3.0999999999999999E-3</v>
      </c>
      <c r="H31" s="82">
        <v>400</v>
      </c>
      <c r="I31" s="29"/>
    </row>
    <row r="32" spans="5:9" x14ac:dyDescent="0.35">
      <c r="E32" s="24" t="s">
        <v>151</v>
      </c>
      <c r="F32" s="29" t="s">
        <v>291</v>
      </c>
      <c r="G32" s="29" t="s">
        <v>295</v>
      </c>
      <c r="H32" s="29">
        <v>1000</v>
      </c>
      <c r="I32" s="29">
        <v>29</v>
      </c>
    </row>
  </sheetData>
  <mergeCells count="2">
    <mergeCell ref="I2:K2"/>
    <mergeCell ref="E19:I19"/>
  </mergeCells>
  <phoneticPr fontId="6"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8C78-31F8-402F-9324-235BFF7E503C}">
  <dimension ref="E2:H31"/>
  <sheetViews>
    <sheetView workbookViewId="0">
      <selection activeCell="E7" sqref="E7:E10"/>
    </sheetView>
  </sheetViews>
  <sheetFormatPr defaultRowHeight="14.5" x14ac:dyDescent="0.35"/>
  <cols>
    <col min="5" max="5" width="20.54296875" customWidth="1"/>
    <col min="6" max="7" width="36.81640625" customWidth="1"/>
    <col min="8" max="8" width="13.7265625" bestFit="1" customWidth="1"/>
  </cols>
  <sheetData>
    <row r="2" spans="5:8" ht="23.5" x14ac:dyDescent="0.55000000000000004">
      <c r="E2" s="118" t="s">
        <v>510</v>
      </c>
      <c r="F2" s="118"/>
      <c r="G2" s="118"/>
      <c r="H2" s="118"/>
    </row>
    <row r="3" spans="5:8" x14ac:dyDescent="0.35">
      <c r="E3" s="114" t="s">
        <v>509</v>
      </c>
      <c r="F3" s="114"/>
      <c r="G3" s="115" t="s">
        <v>53</v>
      </c>
      <c r="H3" s="116" t="s">
        <v>511</v>
      </c>
    </row>
    <row r="4" spans="5:8" x14ac:dyDescent="0.35">
      <c r="E4" s="119" t="s">
        <v>506</v>
      </c>
      <c r="F4" s="119"/>
      <c r="G4" s="122">
        <v>977</v>
      </c>
      <c r="H4" s="122">
        <f>G4/2188*100</f>
        <v>44.652650822669102</v>
      </c>
    </row>
    <row r="5" spans="5:8" x14ac:dyDescent="0.35">
      <c r="E5" s="119" t="s">
        <v>507</v>
      </c>
      <c r="F5" s="119"/>
      <c r="G5" s="122">
        <v>591</v>
      </c>
      <c r="H5" s="122">
        <f t="shared" ref="H5:H31" si="0">G5/2188*100</f>
        <v>27.010968921389395</v>
      </c>
    </row>
    <row r="6" spans="5:8" ht="14.5" customHeight="1" x14ac:dyDescent="0.35">
      <c r="E6" s="119" t="s">
        <v>508</v>
      </c>
      <c r="F6" s="119"/>
      <c r="G6" s="122">
        <v>194</v>
      </c>
      <c r="H6" s="122">
        <f t="shared" si="0"/>
        <v>8.8665447897623402</v>
      </c>
    </row>
    <row r="7" spans="5:8" ht="15.5" x14ac:dyDescent="0.35">
      <c r="E7" s="120" t="s">
        <v>480</v>
      </c>
      <c r="F7" s="121" t="s">
        <v>481</v>
      </c>
      <c r="G7" s="121">
        <v>10</v>
      </c>
      <c r="H7" s="122">
        <f t="shared" si="0"/>
        <v>0.45703839122486289</v>
      </c>
    </row>
    <row r="8" spans="5:8" ht="31" x14ac:dyDescent="0.35">
      <c r="E8" s="120"/>
      <c r="F8" s="121" t="s">
        <v>482</v>
      </c>
      <c r="G8" s="121">
        <v>2</v>
      </c>
      <c r="H8" s="122">
        <f t="shared" si="0"/>
        <v>9.1407678244972576E-2</v>
      </c>
    </row>
    <row r="9" spans="5:8" ht="15.5" x14ac:dyDescent="0.35">
      <c r="E9" s="120"/>
      <c r="F9" s="121" t="s">
        <v>483</v>
      </c>
      <c r="G9" s="121">
        <v>7</v>
      </c>
      <c r="H9" s="122">
        <f t="shared" si="0"/>
        <v>0.31992687385740404</v>
      </c>
    </row>
    <row r="10" spans="5:8" ht="15.5" x14ac:dyDescent="0.35">
      <c r="E10" s="120"/>
      <c r="F10" s="121" t="s">
        <v>484</v>
      </c>
      <c r="G10" s="121">
        <v>7</v>
      </c>
      <c r="H10" s="122">
        <f t="shared" si="0"/>
        <v>0.31992687385740404</v>
      </c>
    </row>
    <row r="11" spans="5:8" ht="15.5" customHeight="1" x14ac:dyDescent="0.35">
      <c r="E11" s="123" t="s">
        <v>505</v>
      </c>
      <c r="F11" s="121" t="s">
        <v>485</v>
      </c>
      <c r="G11" s="121">
        <v>4</v>
      </c>
      <c r="H11" s="122">
        <f t="shared" si="0"/>
        <v>0.18281535648994515</v>
      </c>
    </row>
    <row r="12" spans="5:8" ht="15.5" customHeight="1" x14ac:dyDescent="0.35">
      <c r="E12" s="123"/>
      <c r="F12" s="121" t="s">
        <v>486</v>
      </c>
      <c r="G12" s="121">
        <v>8</v>
      </c>
      <c r="H12" s="122">
        <f t="shared" si="0"/>
        <v>0.3656307129798903</v>
      </c>
    </row>
    <row r="13" spans="5:8" ht="31" customHeight="1" x14ac:dyDescent="0.35">
      <c r="E13" s="123"/>
      <c r="F13" s="121" t="s">
        <v>487</v>
      </c>
      <c r="G13" s="121">
        <v>36</v>
      </c>
      <c r="H13" s="122">
        <f t="shared" si="0"/>
        <v>1.6453382084095063</v>
      </c>
    </row>
    <row r="14" spans="5:8" ht="31" customHeight="1" x14ac:dyDescent="0.35">
      <c r="E14" s="123"/>
      <c r="F14" s="121" t="s">
        <v>488</v>
      </c>
      <c r="G14" s="121">
        <v>5</v>
      </c>
      <c r="H14" s="122">
        <f t="shared" si="0"/>
        <v>0.22851919561243145</v>
      </c>
    </row>
    <row r="15" spans="5:8" ht="31" x14ac:dyDescent="0.35">
      <c r="E15" s="123"/>
      <c r="F15" s="121" t="s">
        <v>489</v>
      </c>
      <c r="G15" s="121">
        <v>4</v>
      </c>
      <c r="H15" s="122">
        <f t="shared" si="0"/>
        <v>0.18281535648994515</v>
      </c>
    </row>
    <row r="16" spans="5:8" ht="15.5" x14ac:dyDescent="0.35">
      <c r="E16" s="123"/>
      <c r="F16" s="121" t="s">
        <v>490</v>
      </c>
      <c r="G16" s="121">
        <v>20</v>
      </c>
      <c r="H16" s="122">
        <f t="shared" si="0"/>
        <v>0.91407678244972579</v>
      </c>
    </row>
    <row r="17" spans="5:8" ht="15.5" x14ac:dyDescent="0.35">
      <c r="E17" s="123"/>
      <c r="F17" s="121" t="s">
        <v>491</v>
      </c>
      <c r="G17" s="121">
        <v>19</v>
      </c>
      <c r="H17" s="122">
        <f t="shared" si="0"/>
        <v>0.86837294332723947</v>
      </c>
    </row>
    <row r="18" spans="5:8" ht="15.5" customHeight="1" x14ac:dyDescent="0.35">
      <c r="E18" s="123"/>
      <c r="F18" s="121" t="s">
        <v>492</v>
      </c>
      <c r="G18" s="121">
        <v>4</v>
      </c>
      <c r="H18" s="122">
        <f t="shared" si="0"/>
        <v>0.18281535648994515</v>
      </c>
    </row>
    <row r="19" spans="5:8" ht="15.5" x14ac:dyDescent="0.35">
      <c r="E19" s="123"/>
      <c r="F19" s="121" t="s">
        <v>493</v>
      </c>
      <c r="G19" s="121">
        <v>6</v>
      </c>
      <c r="H19" s="122">
        <f t="shared" si="0"/>
        <v>0.27422303473491771</v>
      </c>
    </row>
    <row r="20" spans="5:8" ht="15.5" x14ac:dyDescent="0.35">
      <c r="E20" s="123"/>
      <c r="F20" s="121" t="s">
        <v>494</v>
      </c>
      <c r="G20" s="121">
        <v>1</v>
      </c>
      <c r="H20" s="122">
        <f t="shared" si="0"/>
        <v>4.5703839122486288E-2</v>
      </c>
    </row>
    <row r="21" spans="5:8" ht="15.5" x14ac:dyDescent="0.35">
      <c r="E21" s="123"/>
      <c r="F21" s="121" t="s">
        <v>495</v>
      </c>
      <c r="G21" s="121">
        <v>1</v>
      </c>
      <c r="H21" s="122">
        <f t="shared" si="0"/>
        <v>4.5703839122486288E-2</v>
      </c>
    </row>
    <row r="22" spans="5:8" ht="46.5" x14ac:dyDescent="0.35">
      <c r="E22" s="123"/>
      <c r="F22" s="121" t="s">
        <v>496</v>
      </c>
      <c r="G22" s="121">
        <v>4</v>
      </c>
      <c r="H22" s="122">
        <f t="shared" si="0"/>
        <v>0.18281535648994515</v>
      </c>
    </row>
    <row r="23" spans="5:8" ht="15.5" x14ac:dyDescent="0.35">
      <c r="E23" s="123"/>
      <c r="F23" s="121" t="s">
        <v>497</v>
      </c>
      <c r="G23" s="121">
        <v>37</v>
      </c>
      <c r="H23" s="122">
        <f t="shared" si="0"/>
        <v>1.6910420475319927</v>
      </c>
    </row>
    <row r="24" spans="5:8" ht="15.5" x14ac:dyDescent="0.35">
      <c r="E24" s="123"/>
      <c r="F24" s="121" t="s">
        <v>498</v>
      </c>
      <c r="G24" s="121">
        <v>1</v>
      </c>
      <c r="H24" s="122">
        <f t="shared" si="0"/>
        <v>4.5703839122486288E-2</v>
      </c>
    </row>
    <row r="25" spans="5:8" ht="31" x14ac:dyDescent="0.35">
      <c r="E25" s="123"/>
      <c r="F25" s="121" t="s">
        <v>499</v>
      </c>
      <c r="G25" s="121">
        <v>8</v>
      </c>
      <c r="H25" s="122">
        <f t="shared" si="0"/>
        <v>0.3656307129798903</v>
      </c>
    </row>
    <row r="26" spans="5:8" ht="31" x14ac:dyDescent="0.35">
      <c r="E26" s="123"/>
      <c r="F26" s="121" t="s">
        <v>500</v>
      </c>
      <c r="G26" s="121">
        <v>26</v>
      </c>
      <c r="H26" s="122">
        <f t="shared" si="0"/>
        <v>1.1882998171846435</v>
      </c>
    </row>
    <row r="27" spans="5:8" ht="15.5" x14ac:dyDescent="0.35">
      <c r="E27" s="123"/>
      <c r="F27" s="121" t="s">
        <v>501</v>
      </c>
      <c r="G27" s="121">
        <v>9</v>
      </c>
      <c r="H27" s="122">
        <f t="shared" si="0"/>
        <v>0.41133455210237657</v>
      </c>
    </row>
    <row r="28" spans="5:8" ht="31" x14ac:dyDescent="0.35">
      <c r="E28" s="123"/>
      <c r="F28" s="121" t="s">
        <v>502</v>
      </c>
      <c r="G28" s="121">
        <v>30</v>
      </c>
      <c r="H28" s="122">
        <f t="shared" si="0"/>
        <v>1.3711151736745886</v>
      </c>
    </row>
    <row r="29" spans="5:8" ht="15.5" x14ac:dyDescent="0.35">
      <c r="E29" s="123"/>
      <c r="F29" s="121" t="s">
        <v>503</v>
      </c>
      <c r="G29" s="121">
        <v>3</v>
      </c>
      <c r="H29" s="122">
        <f t="shared" si="0"/>
        <v>0.13711151736745886</v>
      </c>
    </row>
    <row r="30" spans="5:8" ht="15.5" x14ac:dyDescent="0.35">
      <c r="E30" s="123"/>
      <c r="F30" s="121" t="s">
        <v>504</v>
      </c>
      <c r="G30" s="121">
        <v>27</v>
      </c>
      <c r="H30" s="122">
        <f t="shared" si="0"/>
        <v>1.2340036563071299</v>
      </c>
    </row>
    <row r="31" spans="5:8" x14ac:dyDescent="0.35">
      <c r="E31" s="119" t="s">
        <v>479</v>
      </c>
      <c r="F31" s="119"/>
      <c r="G31" s="122">
        <v>147</v>
      </c>
      <c r="H31" s="122">
        <f t="shared" si="0"/>
        <v>6.7184643510054851</v>
      </c>
    </row>
  </sheetData>
  <mergeCells count="8">
    <mergeCell ref="E2:H2"/>
    <mergeCell ref="E4:F4"/>
    <mergeCell ref="E5:F5"/>
    <mergeCell ref="E6:F6"/>
    <mergeCell ref="E31:F31"/>
    <mergeCell ref="E3:F3"/>
    <mergeCell ref="E7:E10"/>
    <mergeCell ref="E11:E3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67ED-0556-49D8-9BBF-2CFBD4B8591B}">
  <dimension ref="F4:L11"/>
  <sheetViews>
    <sheetView zoomScale="103" zoomScaleNormal="85" workbookViewId="0">
      <selection activeCell="M26" sqref="M26"/>
    </sheetView>
  </sheetViews>
  <sheetFormatPr defaultRowHeight="14.5" x14ac:dyDescent="0.35"/>
  <cols>
    <col min="5" max="5" width="3.81640625" customWidth="1"/>
    <col min="6" max="6" width="22.08984375" bestFit="1" customWidth="1"/>
    <col min="7" max="7" width="10.1796875" bestFit="1" customWidth="1"/>
    <col min="12" max="12" width="30.453125" bestFit="1" customWidth="1"/>
  </cols>
  <sheetData>
    <row r="4" spans="6:12" x14ac:dyDescent="0.35">
      <c r="F4" s="23"/>
      <c r="G4" s="61"/>
      <c r="H4" s="61" t="s">
        <v>175</v>
      </c>
      <c r="I4" s="61"/>
      <c r="J4" s="109" t="s">
        <v>180</v>
      </c>
      <c r="K4" s="110"/>
      <c r="L4" s="85"/>
    </row>
    <row r="5" spans="6:12" x14ac:dyDescent="0.35">
      <c r="F5" s="23"/>
      <c r="G5" s="23" t="s">
        <v>279</v>
      </c>
      <c r="H5" s="23" t="s">
        <v>176</v>
      </c>
      <c r="I5" s="23" t="s">
        <v>177</v>
      </c>
      <c r="J5" s="23" t="s">
        <v>176</v>
      </c>
      <c r="K5" s="23" t="s">
        <v>177</v>
      </c>
      <c r="L5" s="23" t="s">
        <v>177</v>
      </c>
    </row>
    <row r="6" spans="6:12" x14ac:dyDescent="0.35">
      <c r="F6" s="61" t="s">
        <v>164</v>
      </c>
      <c r="G6" s="23">
        <v>1295</v>
      </c>
      <c r="H6" s="23">
        <v>20.997097625329811</v>
      </c>
      <c r="I6" s="23" t="s">
        <v>185</v>
      </c>
      <c r="J6" s="23">
        <v>90.288596491228063</v>
      </c>
      <c r="K6" s="23" t="s">
        <v>184</v>
      </c>
      <c r="L6" s="23" t="s">
        <v>94</v>
      </c>
    </row>
    <row r="7" spans="6:12" x14ac:dyDescent="0.35">
      <c r="F7" s="62" t="s">
        <v>165</v>
      </c>
      <c r="G7" s="23">
        <v>16</v>
      </c>
      <c r="H7" s="23">
        <v>24</v>
      </c>
      <c r="I7" s="23" t="s">
        <v>178</v>
      </c>
      <c r="J7" s="23">
        <v>56.25</v>
      </c>
      <c r="K7" s="23" t="s">
        <v>179</v>
      </c>
      <c r="L7" s="23" t="s">
        <v>94</v>
      </c>
    </row>
    <row r="8" spans="6:12" x14ac:dyDescent="0.35">
      <c r="F8" s="46" t="s">
        <v>166</v>
      </c>
      <c r="G8" s="23">
        <v>88</v>
      </c>
      <c r="H8" s="23">
        <v>193.29545454545453</v>
      </c>
      <c r="I8" s="23" t="s">
        <v>181</v>
      </c>
      <c r="J8" s="23" t="s">
        <v>94</v>
      </c>
      <c r="K8" s="23" t="s">
        <v>94</v>
      </c>
    </row>
    <row r="9" spans="6:12" ht="16" customHeight="1" x14ac:dyDescent="0.35">
      <c r="F9" s="46" t="s">
        <v>167</v>
      </c>
      <c r="G9" s="23">
        <v>285</v>
      </c>
      <c r="H9" s="23">
        <v>98.771929824561397</v>
      </c>
      <c r="I9" s="23" t="s">
        <v>182</v>
      </c>
      <c r="J9" s="23">
        <v>97.480916030534345</v>
      </c>
      <c r="K9" s="23" t="s">
        <v>183</v>
      </c>
      <c r="L9" s="23" t="s">
        <v>559</v>
      </c>
    </row>
    <row r="10" spans="6:12" x14ac:dyDescent="0.35">
      <c r="F10" s="46" t="s">
        <v>218</v>
      </c>
      <c r="G10" s="23">
        <v>391</v>
      </c>
      <c r="H10" s="23">
        <v>88.606138107416882</v>
      </c>
      <c r="I10" s="23" t="s">
        <v>187</v>
      </c>
      <c r="J10" s="23">
        <v>97.884615384615387</v>
      </c>
      <c r="K10" s="23" t="s">
        <v>188</v>
      </c>
      <c r="L10" s="23" t="s">
        <v>94</v>
      </c>
    </row>
    <row r="11" spans="6:12" x14ac:dyDescent="0.35">
      <c r="F11" s="46" t="s">
        <v>168</v>
      </c>
      <c r="G11" s="23">
        <v>105</v>
      </c>
      <c r="H11" s="23">
        <v>86.952380952380906</v>
      </c>
      <c r="I11" s="23" t="s">
        <v>186</v>
      </c>
      <c r="J11" s="23" t="s">
        <v>94</v>
      </c>
      <c r="K11" s="23" t="s">
        <v>94</v>
      </c>
      <c r="L11" s="23" t="s">
        <v>94</v>
      </c>
    </row>
  </sheetData>
  <mergeCells count="1">
    <mergeCell ref="J4:K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C5DB-09F8-47E4-8185-41DF6E1A2D19}">
  <dimension ref="G4:W418"/>
  <sheetViews>
    <sheetView topLeftCell="H1" zoomScale="130" zoomScaleNormal="130" workbookViewId="0">
      <selection activeCell="U11" sqref="U11"/>
    </sheetView>
  </sheetViews>
  <sheetFormatPr defaultRowHeight="14.5" x14ac:dyDescent="0.35"/>
  <cols>
    <col min="6" max="6" width="0.81640625" customWidth="1"/>
    <col min="7" max="7" width="18" customWidth="1"/>
    <col min="8" max="8" width="37.6328125" bestFit="1" customWidth="1"/>
    <col min="19" max="19" width="27.36328125" bestFit="1" customWidth="1"/>
    <col min="20" max="20" width="12.453125" customWidth="1"/>
    <col min="21" max="22" width="22.453125" bestFit="1" customWidth="1"/>
    <col min="23" max="23" width="14.453125" bestFit="1" customWidth="1"/>
  </cols>
  <sheetData>
    <row r="4" spans="7:23" ht="15" customHeight="1" x14ac:dyDescent="0.35"/>
    <row r="5" spans="7:23" ht="15" customHeight="1" x14ac:dyDescent="0.45">
      <c r="G5" s="133"/>
      <c r="H5" s="133"/>
      <c r="I5" s="61" t="s">
        <v>447</v>
      </c>
      <c r="J5" s="61" t="s">
        <v>169</v>
      </c>
      <c r="K5" s="61" t="s">
        <v>170</v>
      </c>
      <c r="L5" s="61" t="s">
        <v>171</v>
      </c>
      <c r="M5" s="61" t="s">
        <v>172</v>
      </c>
      <c r="N5" s="61" t="s">
        <v>173</v>
      </c>
      <c r="O5" s="61" t="s">
        <v>174</v>
      </c>
      <c r="S5" s="117" t="s">
        <v>448</v>
      </c>
      <c r="T5" s="117"/>
      <c r="V5" s="134" t="s">
        <v>464</v>
      </c>
      <c r="W5" s="135"/>
    </row>
    <row r="6" spans="7:23" ht="15" customHeight="1" x14ac:dyDescent="0.35">
      <c r="G6" s="111" t="s">
        <v>537</v>
      </c>
      <c r="H6" s="23" t="s">
        <v>538</v>
      </c>
      <c r="I6" s="23">
        <v>33</v>
      </c>
      <c r="J6" s="41">
        <v>128.33333333333334</v>
      </c>
      <c r="K6" s="41">
        <v>99.690353929889667</v>
      </c>
      <c r="L6" s="41">
        <v>3.5902938302788407</v>
      </c>
      <c r="M6" s="41">
        <v>1.9461177833986869</v>
      </c>
      <c r="N6" s="23">
        <v>19</v>
      </c>
      <c r="O6" s="23">
        <v>444</v>
      </c>
      <c r="S6" s="24" t="s">
        <v>474</v>
      </c>
      <c r="T6" s="21">
        <v>224</v>
      </c>
      <c r="V6" s="43" t="s">
        <v>449</v>
      </c>
      <c r="W6" s="29">
        <v>19</v>
      </c>
    </row>
    <row r="7" spans="7:23" ht="15" customHeight="1" x14ac:dyDescent="0.35">
      <c r="G7" s="111"/>
      <c r="H7" s="23" t="s">
        <v>539</v>
      </c>
      <c r="I7" s="23">
        <v>1161</v>
      </c>
      <c r="J7" s="41">
        <v>212.39770887166236</v>
      </c>
      <c r="K7" s="41">
        <v>55.509794885177691</v>
      </c>
      <c r="L7" s="41">
        <v>0.11468245653671083</v>
      </c>
      <c r="M7" s="41">
        <v>0.20054557083508426</v>
      </c>
      <c r="N7" s="23">
        <v>52.6</v>
      </c>
      <c r="O7" s="23">
        <v>390</v>
      </c>
      <c r="S7" s="24" t="s">
        <v>475</v>
      </c>
      <c r="T7" s="21">
        <v>11</v>
      </c>
      <c r="V7" s="44" t="s">
        <v>450</v>
      </c>
      <c r="W7" s="29">
        <v>115</v>
      </c>
    </row>
    <row r="8" spans="7:23" ht="15" customHeight="1" x14ac:dyDescent="0.35">
      <c r="G8" s="111" t="s">
        <v>299</v>
      </c>
      <c r="H8" s="24" t="s">
        <v>540</v>
      </c>
      <c r="I8" s="23">
        <v>123</v>
      </c>
      <c r="J8" s="41">
        <v>55.775447154471536</v>
      </c>
      <c r="K8" s="41">
        <v>14.097151627890156</v>
      </c>
      <c r="L8" s="41">
        <v>0.52754933491352984</v>
      </c>
      <c r="M8" s="41">
        <v>-0.32939947317096102</v>
      </c>
      <c r="N8" s="23">
        <v>4.0999999999999996</v>
      </c>
      <c r="O8" s="23">
        <v>82</v>
      </c>
      <c r="S8" s="21" t="s">
        <v>476</v>
      </c>
      <c r="T8" s="21">
        <v>27</v>
      </c>
      <c r="V8" s="45" t="s">
        <v>451</v>
      </c>
      <c r="W8" s="29">
        <v>23</v>
      </c>
    </row>
    <row r="9" spans="7:23" ht="15" customHeight="1" x14ac:dyDescent="0.35">
      <c r="G9" s="111"/>
      <c r="H9" s="24" t="s">
        <v>541</v>
      </c>
      <c r="I9" s="23">
        <v>273</v>
      </c>
      <c r="J9" s="41">
        <v>86.933296703296719</v>
      </c>
      <c r="K9" s="41">
        <v>21.667976831585822</v>
      </c>
      <c r="L9" s="41">
        <v>1.576332393764694</v>
      </c>
      <c r="M9" s="41">
        <v>0.89142322126091633</v>
      </c>
      <c r="N9" s="23">
        <v>38</v>
      </c>
      <c r="O9" s="23">
        <v>163</v>
      </c>
      <c r="S9" s="24" t="s">
        <v>477</v>
      </c>
      <c r="T9" s="21">
        <v>495</v>
      </c>
      <c r="V9" s="44" t="s">
        <v>452</v>
      </c>
      <c r="W9" s="29">
        <v>4</v>
      </c>
    </row>
    <row r="10" spans="7:23" ht="15" customHeight="1" x14ac:dyDescent="0.35">
      <c r="G10" s="111"/>
      <c r="H10" s="24" t="s">
        <v>542</v>
      </c>
      <c r="I10" s="23">
        <v>754</v>
      </c>
      <c r="J10" s="41">
        <v>106.94055702917771</v>
      </c>
      <c r="K10" s="41">
        <v>27.797780428797907</v>
      </c>
      <c r="L10" s="41">
        <v>0.13599432358335584</v>
      </c>
      <c r="M10" s="41">
        <v>0.3963423181718892</v>
      </c>
      <c r="N10" s="23">
        <v>39</v>
      </c>
      <c r="O10" s="23">
        <v>201</v>
      </c>
      <c r="S10" s="24" t="s">
        <v>478</v>
      </c>
      <c r="T10" s="21">
        <v>226</v>
      </c>
      <c r="V10" s="43" t="s">
        <v>453</v>
      </c>
      <c r="W10" s="29">
        <v>15</v>
      </c>
    </row>
    <row r="11" spans="7:23" ht="15" customHeight="1" x14ac:dyDescent="0.35">
      <c r="G11" s="111"/>
      <c r="H11" s="24" t="s">
        <v>543</v>
      </c>
      <c r="I11" s="23">
        <v>130</v>
      </c>
      <c r="J11" s="41">
        <v>120.80376923076923</v>
      </c>
      <c r="K11" s="41">
        <v>24.830097024395876</v>
      </c>
      <c r="L11" s="41">
        <v>2.6168109655146932E-2</v>
      </c>
      <c r="M11" s="41">
        <v>0.38911346162881677</v>
      </c>
      <c r="N11" s="23">
        <v>70.66</v>
      </c>
      <c r="O11" s="23">
        <v>193</v>
      </c>
      <c r="S11" s="24" t="s">
        <v>192</v>
      </c>
      <c r="T11" s="21">
        <v>36</v>
      </c>
      <c r="V11" s="43" t="s">
        <v>454</v>
      </c>
      <c r="W11" s="29">
        <v>3</v>
      </c>
    </row>
    <row r="12" spans="7:23" ht="15" customHeight="1" x14ac:dyDescent="0.35">
      <c r="G12" s="111"/>
      <c r="H12" s="24" t="s">
        <v>544</v>
      </c>
      <c r="I12" s="23">
        <v>10</v>
      </c>
      <c r="J12" s="41">
        <v>159.54000000000002</v>
      </c>
      <c r="K12" s="41">
        <v>19.074077813735673</v>
      </c>
      <c r="L12" s="41">
        <v>0.1923555886219086</v>
      </c>
      <c r="M12" s="41">
        <v>-1.2240736780455617</v>
      </c>
      <c r="N12" s="23">
        <v>126</v>
      </c>
      <c r="O12" s="23">
        <v>176.4</v>
      </c>
      <c r="S12" s="24" t="s">
        <v>193</v>
      </c>
      <c r="T12" s="21">
        <v>674</v>
      </c>
      <c r="V12" s="43" t="s">
        <v>191</v>
      </c>
      <c r="W12" s="29">
        <v>696</v>
      </c>
    </row>
    <row r="13" spans="7:23" ht="15" customHeight="1" x14ac:dyDescent="0.35">
      <c r="G13" s="111"/>
      <c r="H13" s="24" t="s">
        <v>545</v>
      </c>
      <c r="I13" s="23">
        <v>2073</v>
      </c>
      <c r="J13" s="41">
        <v>150.24871054784279</v>
      </c>
      <c r="K13" s="41">
        <v>36.564617407713698</v>
      </c>
      <c r="L13" s="41">
        <v>0.8464070433333104</v>
      </c>
      <c r="M13" s="41">
        <v>0.76289251916634149</v>
      </c>
      <c r="N13" s="23">
        <v>80</v>
      </c>
      <c r="O13" s="23">
        <v>338</v>
      </c>
      <c r="S13" s="24" t="s">
        <v>194</v>
      </c>
      <c r="T13" s="21">
        <v>6</v>
      </c>
      <c r="V13" s="43" t="s">
        <v>455</v>
      </c>
      <c r="W13" s="29">
        <v>18</v>
      </c>
    </row>
    <row r="14" spans="7:23" ht="15" customHeight="1" x14ac:dyDescent="0.35">
      <c r="G14" s="111"/>
      <c r="H14" s="24" t="s">
        <v>546</v>
      </c>
      <c r="I14" s="23">
        <v>217</v>
      </c>
      <c r="J14" s="41">
        <v>152.41935483870967</v>
      </c>
      <c r="K14" s="41">
        <v>22.820929184437237</v>
      </c>
      <c r="L14" s="41">
        <v>-0.22625513222784743</v>
      </c>
      <c r="M14" s="41">
        <v>-0.51452538525906411</v>
      </c>
      <c r="N14" s="23">
        <v>78</v>
      </c>
      <c r="O14" s="23">
        <v>202</v>
      </c>
      <c r="S14" s="24" t="s">
        <v>195</v>
      </c>
      <c r="T14" s="21">
        <v>143</v>
      </c>
      <c r="V14" s="43" t="s">
        <v>456</v>
      </c>
      <c r="W14" s="29">
        <v>29</v>
      </c>
    </row>
    <row r="15" spans="7:23" ht="15" customHeight="1" x14ac:dyDescent="0.35">
      <c r="G15" s="111"/>
      <c r="H15" s="24" t="s">
        <v>547</v>
      </c>
      <c r="I15" s="23">
        <v>341</v>
      </c>
      <c r="J15" s="41">
        <v>154.80909090909088</v>
      </c>
      <c r="K15" s="41">
        <v>26.141332036484187</v>
      </c>
      <c r="L15" s="41">
        <v>-0.35869986514224639</v>
      </c>
      <c r="M15" s="41">
        <v>4.7051002781959707E-2</v>
      </c>
      <c r="N15" s="23">
        <v>89</v>
      </c>
      <c r="O15" s="23">
        <v>225</v>
      </c>
      <c r="S15" s="35" t="s">
        <v>196</v>
      </c>
      <c r="T15" s="21">
        <v>2</v>
      </c>
      <c r="V15" s="44" t="s">
        <v>457</v>
      </c>
      <c r="W15" s="29">
        <v>9</v>
      </c>
    </row>
    <row r="16" spans="7:23" ht="15" customHeight="1" x14ac:dyDescent="0.35">
      <c r="G16" s="112" t="s">
        <v>204</v>
      </c>
      <c r="H16" s="112"/>
      <c r="I16" s="23">
        <v>243</v>
      </c>
      <c r="J16" s="41">
        <v>43.85778600823047</v>
      </c>
      <c r="K16" s="41">
        <v>8.2341987955875542</v>
      </c>
      <c r="L16" s="41">
        <v>2.9044640865616795</v>
      </c>
      <c r="M16" s="41">
        <v>-1.2444195408095142</v>
      </c>
      <c r="N16" s="23">
        <v>15</v>
      </c>
      <c r="O16" s="23">
        <v>68</v>
      </c>
      <c r="S16" s="24" t="s">
        <v>197</v>
      </c>
      <c r="T16" s="21">
        <v>95</v>
      </c>
      <c r="V16" s="43" t="s">
        <v>458</v>
      </c>
      <c r="W16" s="29">
        <v>4</v>
      </c>
    </row>
    <row r="17" spans="7:23" ht="15" customHeight="1" x14ac:dyDescent="0.35">
      <c r="G17" s="111" t="s">
        <v>300</v>
      </c>
      <c r="H17" s="24" t="s">
        <v>205</v>
      </c>
      <c r="I17" s="23">
        <v>237</v>
      </c>
      <c r="J17" s="41">
        <v>15.739662447257381</v>
      </c>
      <c r="K17" s="41">
        <v>6.7585217936119406</v>
      </c>
      <c r="L17" s="41">
        <v>9.9396982120301125E-3</v>
      </c>
      <c r="M17" s="41">
        <v>0.60047378728652945</v>
      </c>
      <c r="N17" s="23">
        <v>3.8</v>
      </c>
      <c r="O17" s="23">
        <v>39.799999999999997</v>
      </c>
      <c r="S17" s="24" t="s">
        <v>198</v>
      </c>
      <c r="T17" s="21">
        <v>31</v>
      </c>
      <c r="V17" s="43" t="s">
        <v>459</v>
      </c>
      <c r="W17" s="29">
        <v>24</v>
      </c>
    </row>
    <row r="18" spans="7:23" ht="15" customHeight="1" x14ac:dyDescent="0.35">
      <c r="G18" s="111"/>
      <c r="H18" s="23" t="s">
        <v>551</v>
      </c>
      <c r="I18" s="23">
        <v>103</v>
      </c>
      <c r="J18" s="41">
        <v>7.2888932038834984</v>
      </c>
      <c r="K18" s="41">
        <v>2.3145109037930323</v>
      </c>
      <c r="L18" s="41">
        <v>-0.4764721612536098</v>
      </c>
      <c r="M18" s="41">
        <v>0.4770366765367407</v>
      </c>
      <c r="N18" s="23">
        <v>3.06</v>
      </c>
      <c r="O18" s="23">
        <v>13.3</v>
      </c>
      <c r="S18" s="24" t="s">
        <v>199</v>
      </c>
      <c r="T18" s="21">
        <v>99</v>
      </c>
      <c r="V18" s="43" t="s">
        <v>460</v>
      </c>
      <c r="W18" s="29">
        <v>16</v>
      </c>
    </row>
    <row r="19" spans="7:23" ht="15" customHeight="1" x14ac:dyDescent="0.35">
      <c r="G19" s="111"/>
      <c r="H19" s="24" t="s">
        <v>206</v>
      </c>
      <c r="I19" s="23">
        <v>280</v>
      </c>
      <c r="J19" s="41">
        <v>11.534814285714285</v>
      </c>
      <c r="K19" s="41">
        <v>5.0837779775012235</v>
      </c>
      <c r="L19" s="41">
        <v>12.898023066067601</v>
      </c>
      <c r="M19" s="41">
        <v>2.8051755133866978</v>
      </c>
      <c r="N19" s="23">
        <v>4.4000000000000004</v>
      </c>
      <c r="O19" s="23">
        <v>43.22</v>
      </c>
      <c r="S19" s="24" t="s">
        <v>200</v>
      </c>
      <c r="T19" s="21">
        <v>7</v>
      </c>
      <c r="V19" s="43" t="s">
        <v>461</v>
      </c>
      <c r="W19" s="29">
        <v>6</v>
      </c>
    </row>
    <row r="20" spans="7:23" ht="15" customHeight="1" x14ac:dyDescent="0.35">
      <c r="G20" s="111"/>
      <c r="H20" s="24" t="s">
        <v>548</v>
      </c>
      <c r="I20" s="23">
        <v>42</v>
      </c>
      <c r="J20" s="41">
        <v>3.337047619047619</v>
      </c>
      <c r="K20" s="41">
        <v>2.7833542402909148</v>
      </c>
      <c r="L20" s="41">
        <v>-1.2085648239732674</v>
      </c>
      <c r="M20" s="41">
        <v>0.3627160201126256</v>
      </c>
      <c r="N20" s="23">
        <v>8.7999999999999995E-2</v>
      </c>
      <c r="O20" s="23">
        <v>8.1999999999999993</v>
      </c>
      <c r="S20" s="24" t="s">
        <v>201</v>
      </c>
      <c r="T20" s="21">
        <v>12</v>
      </c>
      <c r="V20" s="43" t="s">
        <v>462</v>
      </c>
      <c r="W20" s="29">
        <v>30</v>
      </c>
    </row>
    <row r="21" spans="7:23" ht="15" customHeight="1" x14ac:dyDescent="0.35">
      <c r="G21" s="111"/>
      <c r="H21" s="24" t="s">
        <v>549</v>
      </c>
      <c r="I21" s="23">
        <v>35</v>
      </c>
      <c r="J21" s="41">
        <v>44.518000000000001</v>
      </c>
      <c r="K21" s="41">
        <v>16.965045170793363</v>
      </c>
      <c r="L21" s="41">
        <v>-1.4647136886894296</v>
      </c>
      <c r="M21" s="41">
        <v>-0.48881487644252947</v>
      </c>
      <c r="N21" s="23">
        <v>17.2</v>
      </c>
      <c r="O21" s="23">
        <v>64.5</v>
      </c>
      <c r="S21" s="25" t="s">
        <v>202</v>
      </c>
      <c r="T21" s="21">
        <v>10</v>
      </c>
      <c r="V21" s="43" t="s">
        <v>463</v>
      </c>
      <c r="W21" s="29">
        <v>16</v>
      </c>
    </row>
    <row r="22" spans="7:23" ht="15" customHeight="1" x14ac:dyDescent="0.35">
      <c r="G22" s="111"/>
      <c r="H22" s="24" t="s">
        <v>550</v>
      </c>
      <c r="I22" s="23">
        <v>130</v>
      </c>
      <c r="J22" s="41">
        <v>3.0372715384615376</v>
      </c>
      <c r="K22" s="41">
        <v>2.9410823263594601</v>
      </c>
      <c r="L22" s="41">
        <v>-0.24346265288624114</v>
      </c>
      <c r="M22" s="41">
        <v>0.99378824311759362</v>
      </c>
      <c r="N22" s="23">
        <v>0.03</v>
      </c>
      <c r="O22" s="23">
        <v>10.15</v>
      </c>
      <c r="S22" s="24" t="s">
        <v>203</v>
      </c>
      <c r="T22" s="21">
        <v>4</v>
      </c>
    </row>
    <row r="23" spans="7:23" ht="15" customHeight="1" x14ac:dyDescent="0.35">
      <c r="G23" s="111" t="s">
        <v>300</v>
      </c>
      <c r="H23" s="24" t="s">
        <v>207</v>
      </c>
      <c r="I23" s="23">
        <v>66</v>
      </c>
      <c r="J23" s="41">
        <v>15.509242424242421</v>
      </c>
      <c r="K23" s="41">
        <v>3.5110727313659811</v>
      </c>
      <c r="L23" s="41">
        <v>6.5835283193112728</v>
      </c>
      <c r="M23" s="41">
        <v>-5.0050595539180065E-2</v>
      </c>
      <c r="N23" s="23">
        <v>1</v>
      </c>
      <c r="O23" s="23">
        <v>28.64</v>
      </c>
    </row>
    <row r="24" spans="7:23" ht="15" customHeight="1" x14ac:dyDescent="0.35">
      <c r="G24" s="111"/>
      <c r="H24" s="23" t="s">
        <v>552</v>
      </c>
      <c r="I24" s="23">
        <v>140</v>
      </c>
      <c r="J24" s="41">
        <v>26.013642857142866</v>
      </c>
      <c r="K24" s="41">
        <v>10.066017566828712</v>
      </c>
      <c r="L24" s="41">
        <v>-0.81111510905844408</v>
      </c>
      <c r="M24" s="41">
        <v>0.28913645036891406</v>
      </c>
      <c r="N24" s="23">
        <v>6.1</v>
      </c>
      <c r="O24" s="23">
        <v>50.9</v>
      </c>
    </row>
    <row r="25" spans="7:23" ht="15" customHeight="1" x14ac:dyDescent="0.35">
      <c r="G25" s="111"/>
      <c r="H25" s="24" t="s">
        <v>208</v>
      </c>
      <c r="I25" s="23">
        <v>1024</v>
      </c>
      <c r="J25" s="41">
        <v>25.907416992187496</v>
      </c>
      <c r="K25" s="41">
        <v>9.4944380827554404</v>
      </c>
      <c r="L25" s="41">
        <v>1.4150998674031356E-2</v>
      </c>
      <c r="M25" s="41">
        <v>0.17882044188923968</v>
      </c>
      <c r="N25" s="23">
        <v>3.1</v>
      </c>
      <c r="O25" s="23">
        <v>64</v>
      </c>
    </row>
    <row r="26" spans="7:23" ht="15" customHeight="1" x14ac:dyDescent="0.35">
      <c r="G26" s="111"/>
      <c r="H26" s="24" t="s">
        <v>553</v>
      </c>
      <c r="I26" s="23">
        <v>68</v>
      </c>
      <c r="J26" s="41">
        <v>20.270441176470587</v>
      </c>
      <c r="K26" s="41">
        <v>7.3049587398231131</v>
      </c>
      <c r="L26" s="41">
        <v>-0.78558323797633056</v>
      </c>
      <c r="M26" s="41">
        <v>0.47520096584241844</v>
      </c>
      <c r="N26" s="23">
        <v>5.9</v>
      </c>
      <c r="O26" s="23">
        <v>35.33</v>
      </c>
    </row>
    <row r="27" spans="7:23" ht="15" customHeight="1" x14ac:dyDescent="0.35">
      <c r="G27" s="111"/>
      <c r="H27" s="24" t="s">
        <v>554</v>
      </c>
      <c r="I27" s="23">
        <v>73</v>
      </c>
      <c r="J27" s="41">
        <v>15.546027397260266</v>
      </c>
      <c r="K27" s="41">
        <v>9.9102171940161146</v>
      </c>
      <c r="L27" s="41">
        <v>0.61385731788347897</v>
      </c>
      <c r="M27" s="41">
        <v>1.2285058199739443</v>
      </c>
      <c r="N27" s="23">
        <v>3.3</v>
      </c>
      <c r="O27" s="23">
        <v>46.11</v>
      </c>
    </row>
    <row r="28" spans="7:23" ht="15" customHeight="1" x14ac:dyDescent="0.35">
      <c r="G28" s="111"/>
      <c r="H28" s="24" t="s">
        <v>555</v>
      </c>
      <c r="I28" s="23">
        <v>202</v>
      </c>
      <c r="J28" s="41">
        <v>94.579633663366337</v>
      </c>
      <c r="K28" s="41">
        <v>133.77066224470718</v>
      </c>
      <c r="L28" s="41">
        <v>4.3817565040964306</v>
      </c>
      <c r="M28" s="41">
        <v>2.3239636475792684</v>
      </c>
      <c r="N28" s="23">
        <v>1</v>
      </c>
      <c r="O28" s="23">
        <v>605.6</v>
      </c>
    </row>
    <row r="29" spans="7:23" ht="15" customHeight="1" x14ac:dyDescent="0.35">
      <c r="G29" s="111" t="s">
        <v>301</v>
      </c>
      <c r="H29" s="24" t="s">
        <v>209</v>
      </c>
      <c r="I29" s="8">
        <v>47</v>
      </c>
      <c r="J29" s="8">
        <v>3.3325531914893611</v>
      </c>
      <c r="K29" s="8">
        <v>1.0739817585794162</v>
      </c>
      <c r="L29" s="8">
        <v>4.2283363449231892E-2</v>
      </c>
      <c r="M29" s="8">
        <v>0.3297937157992461</v>
      </c>
      <c r="N29" s="8">
        <v>1.4</v>
      </c>
      <c r="O29" s="8">
        <v>6.3</v>
      </c>
    </row>
    <row r="30" spans="7:23" ht="15" customHeight="1" x14ac:dyDescent="0.35">
      <c r="G30" s="111"/>
      <c r="H30" s="24" t="s">
        <v>210</v>
      </c>
      <c r="I30" s="8">
        <v>38</v>
      </c>
      <c r="J30" s="8">
        <v>4.5131578947368416</v>
      </c>
      <c r="K30" s="8">
        <v>1.2537880015273077</v>
      </c>
      <c r="L30" s="8">
        <v>0.2100812960949483</v>
      </c>
      <c r="M30" s="8">
        <v>0.50798647930842022</v>
      </c>
      <c r="N30" s="8">
        <v>2.2000000000000002</v>
      </c>
      <c r="O30" s="8">
        <v>7.9</v>
      </c>
    </row>
    <row r="31" spans="7:23" ht="15" customHeight="1" x14ac:dyDescent="0.35">
      <c r="G31" s="111"/>
      <c r="H31" s="24" t="s">
        <v>556</v>
      </c>
      <c r="I31" s="8">
        <v>239</v>
      </c>
      <c r="J31" s="8">
        <v>6.2233891213389132</v>
      </c>
      <c r="K31" s="8">
        <v>5.1674033085284128</v>
      </c>
      <c r="L31" s="8">
        <v>0.95140912540317091</v>
      </c>
      <c r="M31" s="8">
        <v>1.2056012889350416</v>
      </c>
      <c r="N31" s="8">
        <v>0.69</v>
      </c>
      <c r="O31" s="8">
        <v>25.89</v>
      </c>
    </row>
    <row r="32" spans="7:23" ht="15" customHeight="1" x14ac:dyDescent="0.35">
      <c r="G32" s="111"/>
      <c r="H32" s="24" t="s">
        <v>215</v>
      </c>
      <c r="I32" s="8">
        <v>23</v>
      </c>
      <c r="J32" s="8">
        <v>1.325391304347826</v>
      </c>
      <c r="K32" s="8">
        <v>0.61844267310798406</v>
      </c>
      <c r="L32" s="8">
        <v>-0.45664647593075136</v>
      </c>
      <c r="M32" s="8">
        <v>0.68324144503147854</v>
      </c>
      <c r="N32" s="8">
        <v>0.43</v>
      </c>
      <c r="O32" s="8">
        <v>2.637</v>
      </c>
    </row>
    <row r="33" spans="7:15" ht="15" customHeight="1" x14ac:dyDescent="0.35">
      <c r="G33" s="111"/>
      <c r="H33" s="24" t="s">
        <v>211</v>
      </c>
      <c r="I33" s="8">
        <v>112</v>
      </c>
      <c r="J33" s="8">
        <v>464.36780890980691</v>
      </c>
      <c r="K33" s="8">
        <v>412.66929730229873</v>
      </c>
      <c r="L33" s="8">
        <v>4.6283042484897461</v>
      </c>
      <c r="M33" s="8">
        <v>2.1110679578921667</v>
      </c>
      <c r="N33" s="8">
        <v>6</v>
      </c>
      <c r="O33" s="8">
        <v>2100</v>
      </c>
    </row>
    <row r="34" spans="7:15" ht="15" customHeight="1" x14ac:dyDescent="0.35">
      <c r="G34" s="111"/>
      <c r="H34" s="24" t="s">
        <v>212</v>
      </c>
      <c r="I34" s="8">
        <v>66</v>
      </c>
      <c r="J34" s="8">
        <v>358.530303030303</v>
      </c>
      <c r="K34" s="8">
        <v>339.59361322693059</v>
      </c>
      <c r="L34" s="8">
        <v>20.526983992472491</v>
      </c>
      <c r="M34" s="8">
        <v>4.2165991883491856</v>
      </c>
      <c r="N34" s="8">
        <v>25</v>
      </c>
      <c r="O34" s="8">
        <v>2300</v>
      </c>
    </row>
    <row r="35" spans="7:15" ht="15" customHeight="1" x14ac:dyDescent="0.35">
      <c r="G35" s="111"/>
      <c r="H35" s="24" t="s">
        <v>557</v>
      </c>
      <c r="I35" s="8">
        <v>22</v>
      </c>
      <c r="J35" s="8">
        <v>76.818181818181827</v>
      </c>
      <c r="K35" s="8">
        <v>40.056836243893855</v>
      </c>
      <c r="L35" s="8">
        <v>-1.5946634484871089</v>
      </c>
      <c r="M35" s="8">
        <v>-0.67931838528937094</v>
      </c>
      <c r="N35" s="8">
        <v>17.7</v>
      </c>
      <c r="O35" s="8">
        <v>109</v>
      </c>
    </row>
    <row r="36" spans="7:15" ht="15" customHeight="1" x14ac:dyDescent="0.35">
      <c r="G36" s="111"/>
      <c r="H36" s="24" t="s">
        <v>298</v>
      </c>
      <c r="I36" s="8">
        <v>108</v>
      </c>
      <c r="J36" s="8">
        <v>410.32777777777778</v>
      </c>
      <c r="K36" s="8">
        <v>559.59881053652543</v>
      </c>
      <c r="L36" s="8">
        <v>2.0814155353963675</v>
      </c>
      <c r="M36" s="8">
        <v>1.8875887239651419</v>
      </c>
      <c r="N36" s="8">
        <v>9</v>
      </c>
      <c r="O36" s="8">
        <v>1970</v>
      </c>
    </row>
    <row r="37" spans="7:15" ht="15" customHeight="1" x14ac:dyDescent="0.35">
      <c r="G37" s="111"/>
      <c r="H37" s="24" t="s">
        <v>214</v>
      </c>
      <c r="I37" s="8">
        <v>13</v>
      </c>
      <c r="J37" s="8">
        <v>460.61538461538464</v>
      </c>
      <c r="K37" s="8">
        <v>67.779714838510131</v>
      </c>
      <c r="L37" s="8">
        <v>0.73594173681663344</v>
      </c>
      <c r="M37" s="8">
        <v>1.2802312372395201</v>
      </c>
      <c r="N37" s="8">
        <v>386</v>
      </c>
      <c r="O37" s="8">
        <v>603</v>
      </c>
    </row>
    <row r="389" ht="14" customHeight="1" x14ac:dyDescent="0.35"/>
    <row r="390" ht="14" customHeight="1" x14ac:dyDescent="0.35"/>
    <row r="391" ht="14" customHeight="1" x14ac:dyDescent="0.35"/>
    <row r="392" ht="14" customHeight="1" x14ac:dyDescent="0.35"/>
    <row r="393" ht="14" customHeight="1" x14ac:dyDescent="0.35"/>
    <row r="394" ht="14" customHeight="1" x14ac:dyDescent="0.35"/>
    <row r="395" ht="14" customHeight="1" x14ac:dyDescent="0.35"/>
    <row r="396" ht="14" customHeight="1" x14ac:dyDescent="0.35"/>
    <row r="397" ht="14" customHeight="1" x14ac:dyDescent="0.35"/>
    <row r="398" ht="14" customHeight="1" x14ac:dyDescent="0.35"/>
    <row r="399" ht="14" customHeight="1" x14ac:dyDescent="0.35"/>
    <row r="400" ht="14" customHeight="1" x14ac:dyDescent="0.35"/>
    <row r="401" ht="14" customHeight="1" x14ac:dyDescent="0.35"/>
    <row r="402" ht="14" customHeight="1" x14ac:dyDescent="0.35"/>
    <row r="403" ht="14" customHeight="1" x14ac:dyDescent="0.35"/>
    <row r="404" ht="14" customHeight="1" x14ac:dyDescent="0.35"/>
    <row r="405" ht="14" customHeight="1" x14ac:dyDescent="0.35"/>
    <row r="406" ht="14" customHeight="1" x14ac:dyDescent="0.35"/>
    <row r="407" ht="14" customHeight="1" x14ac:dyDescent="0.35"/>
    <row r="408" ht="14" customHeight="1" x14ac:dyDescent="0.35"/>
    <row r="409" ht="14" customHeight="1" x14ac:dyDescent="0.35"/>
    <row r="410" ht="14" customHeight="1" x14ac:dyDescent="0.35"/>
    <row r="411" ht="14" customHeight="1" x14ac:dyDescent="0.35"/>
    <row r="412" ht="14" customHeight="1" x14ac:dyDescent="0.35"/>
    <row r="413" ht="14" customHeight="1" x14ac:dyDescent="0.35"/>
    <row r="414" ht="14" customHeight="1" x14ac:dyDescent="0.35"/>
    <row r="415" ht="14" customHeight="1" x14ac:dyDescent="0.35"/>
    <row r="416" ht="14" customHeight="1" x14ac:dyDescent="0.35"/>
    <row r="417" ht="14" customHeight="1" x14ac:dyDescent="0.35"/>
    <row r="418" ht="14" customHeight="1" x14ac:dyDescent="0.35"/>
  </sheetData>
  <mergeCells count="9">
    <mergeCell ref="V5:W5"/>
    <mergeCell ref="S5:T5"/>
    <mergeCell ref="G5:H5"/>
    <mergeCell ref="G6:G7"/>
    <mergeCell ref="G29:G37"/>
    <mergeCell ref="G8:G15"/>
    <mergeCell ref="G16:H16"/>
    <mergeCell ref="G17:G22"/>
    <mergeCell ref="G23:G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996D-D8E0-4BDF-A647-8032F53A43CB}">
  <dimension ref="F4:L19"/>
  <sheetViews>
    <sheetView zoomScale="85" zoomScaleNormal="85" workbookViewId="0">
      <selection activeCell="C12" sqref="C12"/>
    </sheetView>
  </sheetViews>
  <sheetFormatPr defaultRowHeight="14.5" x14ac:dyDescent="0.35"/>
  <cols>
    <col min="6" max="6" width="33.7265625" style="124" customWidth="1"/>
    <col min="7" max="7" width="106.08984375" style="10" customWidth="1"/>
  </cols>
  <sheetData>
    <row r="4" spans="6:12" ht="15" thickBot="1" x14ac:dyDescent="0.4"/>
    <row r="5" spans="6:12" ht="26" x14ac:dyDescent="0.35">
      <c r="F5" s="125" t="s">
        <v>536</v>
      </c>
      <c r="G5" s="126"/>
    </row>
    <row r="6" spans="6:12" ht="23.5" x14ac:dyDescent="0.35">
      <c r="F6" s="127" t="s">
        <v>534</v>
      </c>
      <c r="G6" s="128" t="s">
        <v>535</v>
      </c>
    </row>
    <row r="7" spans="6:12" ht="37.5" customHeight="1" x14ac:dyDescent="0.35">
      <c r="F7" s="129" t="s">
        <v>189</v>
      </c>
      <c r="G7" s="130" t="s">
        <v>512</v>
      </c>
    </row>
    <row r="8" spans="6:12" ht="37.5" customHeight="1" x14ac:dyDescent="0.35">
      <c r="F8" s="129" t="s">
        <v>190</v>
      </c>
      <c r="G8" s="130" t="s">
        <v>513</v>
      </c>
    </row>
    <row r="9" spans="6:12" ht="37.5" customHeight="1" x14ac:dyDescent="0.35">
      <c r="F9" s="129" t="s">
        <v>299</v>
      </c>
      <c r="G9" s="130" t="s">
        <v>514</v>
      </c>
    </row>
    <row r="10" spans="6:12" ht="37.5" customHeight="1" x14ac:dyDescent="0.35">
      <c r="F10" s="129" t="s">
        <v>515</v>
      </c>
      <c r="G10" s="130" t="s">
        <v>516</v>
      </c>
      <c r="L10" s="10"/>
    </row>
    <row r="11" spans="6:12" ht="37.5" customHeight="1" x14ac:dyDescent="0.35">
      <c r="F11" s="129" t="s">
        <v>517</v>
      </c>
      <c r="G11" s="130" t="s">
        <v>518</v>
      </c>
    </row>
    <row r="12" spans="6:12" ht="37.5" customHeight="1" x14ac:dyDescent="0.35">
      <c r="F12" s="129" t="s">
        <v>519</v>
      </c>
      <c r="G12" s="130" t="s">
        <v>520</v>
      </c>
    </row>
    <row r="13" spans="6:12" ht="37.5" customHeight="1" x14ac:dyDescent="0.35">
      <c r="F13" s="129" t="s">
        <v>521</v>
      </c>
      <c r="G13" s="130" t="s">
        <v>522</v>
      </c>
    </row>
    <row r="14" spans="6:12" ht="37.5" customHeight="1" x14ac:dyDescent="0.35">
      <c r="F14" s="129" t="s">
        <v>529</v>
      </c>
      <c r="G14" s="130" t="s">
        <v>523</v>
      </c>
    </row>
    <row r="15" spans="6:12" ht="37.5" customHeight="1" x14ac:dyDescent="0.35">
      <c r="F15" s="129" t="s">
        <v>530</v>
      </c>
      <c r="G15" s="130" t="s">
        <v>524</v>
      </c>
    </row>
    <row r="16" spans="6:12" ht="37.5" customHeight="1" x14ac:dyDescent="0.35">
      <c r="F16" s="129" t="s">
        <v>531</v>
      </c>
      <c r="G16" s="130" t="s">
        <v>525</v>
      </c>
    </row>
    <row r="17" spans="6:7" ht="37.5" customHeight="1" x14ac:dyDescent="0.35">
      <c r="F17" s="129" t="s">
        <v>213</v>
      </c>
      <c r="G17" s="130" t="s">
        <v>526</v>
      </c>
    </row>
    <row r="18" spans="6:7" ht="37.5" customHeight="1" x14ac:dyDescent="0.35">
      <c r="F18" s="129" t="s">
        <v>532</v>
      </c>
      <c r="G18" s="130" t="s">
        <v>527</v>
      </c>
    </row>
    <row r="19" spans="6:7" ht="37.5" customHeight="1" thickBot="1" x14ac:dyDescent="0.4">
      <c r="F19" s="131" t="s">
        <v>533</v>
      </c>
      <c r="G19" s="132" t="s">
        <v>528</v>
      </c>
    </row>
  </sheetData>
  <mergeCells count="1">
    <mergeCell ref="F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9CB86-B946-4E28-B05D-B6133AB3C9AD}">
  <dimension ref="E3:M3"/>
  <sheetViews>
    <sheetView workbookViewId="0">
      <selection activeCell="N27" sqref="N27"/>
    </sheetView>
  </sheetViews>
  <sheetFormatPr defaultRowHeight="14.5" x14ac:dyDescent="0.35"/>
  <sheetData>
    <row r="3" spans="5:13" ht="23.5" x14ac:dyDescent="0.55000000000000004">
      <c r="E3" s="113" t="s">
        <v>470</v>
      </c>
      <c r="F3" s="113"/>
      <c r="G3" s="113"/>
      <c r="H3" s="113"/>
      <c r="I3" s="113"/>
      <c r="J3" s="113"/>
      <c r="K3" s="113"/>
      <c r="L3" s="113"/>
      <c r="M3" s="113"/>
    </row>
  </sheetData>
  <mergeCells count="1">
    <mergeCell ref="E3:M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 </vt:lpstr>
      <vt:lpstr>1-Regional and year wise </vt:lpstr>
      <vt:lpstr>2-Cement and Composition</vt:lpstr>
      <vt:lpstr>3- SCMs and Nano Particles</vt:lpstr>
      <vt:lpstr>4-Sand and Fillers </vt:lpstr>
      <vt:lpstr>5-Fibers </vt:lpstr>
      <vt:lpstr>6- Superplasticizer</vt:lpstr>
      <vt:lpstr>7-Curing Regime </vt:lpstr>
      <vt:lpstr>8-Specimens and Properities </vt:lpstr>
      <vt:lpstr>9-Testing Standards</vt:lpstr>
      <vt:lpstr>10-Distribtion of 28Days 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Umair Jalil Malik</dc:creator>
  <cp:lastModifiedBy>Umair Jalil Malik</cp:lastModifiedBy>
  <dcterms:created xsi:type="dcterms:W3CDTF">2025-06-25T03:55:48Z</dcterms:created>
  <dcterms:modified xsi:type="dcterms:W3CDTF">2025-09-20T05:19:25Z</dcterms:modified>
</cp:coreProperties>
</file>